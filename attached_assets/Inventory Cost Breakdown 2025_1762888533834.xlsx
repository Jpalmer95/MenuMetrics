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Inventory Cost" sheetId="1" r:id="rId4"/>
    <sheet state="visible" name="Drink Recipe Calculator" sheetId="2" r:id="rId5"/>
    <sheet state="visible" name="Food Recipe Calculator" sheetId="3" r:id="rId6"/>
  </sheets>
  <definedNames>
    <definedName hidden="1" localSheetId="1" name="_xlnm._FilterDatabase">'Drink Recipe Calculator'!$L$1:$R$4</definedName>
  </definedNames>
  <calcPr/>
</workbook>
</file>

<file path=xl/sharedStrings.xml><?xml version="1.0" encoding="utf-8"?>
<sst xmlns="http://schemas.openxmlformats.org/spreadsheetml/2006/main" count="2675" uniqueCount="582">
  <si>
    <t>Items</t>
  </si>
  <si>
    <t>% increase '23 -'24</t>
  </si>
  <si>
    <t>% increase '24 -'25</t>
  </si>
  <si>
    <t>OLD 2023 Price</t>
  </si>
  <si>
    <t>OLD 2024 Price</t>
  </si>
  <si>
    <t>Midyear 2024 Price</t>
  </si>
  <si>
    <t>Current Price</t>
  </si>
  <si>
    <t>Store</t>
  </si>
  <si>
    <t>Quantity</t>
  </si>
  <si>
    <t>Quantity in oz</t>
  </si>
  <si>
    <t>Per oz or unit price</t>
  </si>
  <si>
    <t>Price per cup</t>
  </si>
  <si>
    <t>Price per tbsp.</t>
  </si>
  <si>
    <t>Price per Tsp.</t>
  </si>
  <si>
    <t>Price Per Gram</t>
  </si>
  <si>
    <t>1 oz = 2 tbsp.</t>
  </si>
  <si>
    <t>1 oz = 6 tsp.</t>
  </si>
  <si>
    <t>1 oz = .125 cups</t>
  </si>
  <si>
    <t>-------------------</t>
  </si>
  <si>
    <t>Drink Supplies</t>
  </si>
  <si>
    <t>Espresso Beans ($9 + tarriff of 10%)</t>
  </si>
  <si>
    <t>Numinous</t>
  </si>
  <si>
    <t>1lb</t>
  </si>
  <si>
    <t>House Beans</t>
  </si>
  <si>
    <t>Decaf Beans</t>
  </si>
  <si>
    <t>Rishi Masala Chai (32 oz)</t>
  </si>
  <si>
    <t>12 quarts</t>
  </si>
  <si>
    <t>HEB Creamy Creations Vanilla Ice Cream</t>
  </si>
  <si>
    <t>HEB</t>
  </si>
  <si>
    <t>64oz</t>
  </si>
  <si>
    <t>HEB Whole Frozen Strawberries (5 lbs)</t>
  </si>
  <si>
    <t>5lb bag</t>
  </si>
  <si>
    <t>HEB Whole Frozen Blueberries (5 lbs)</t>
  </si>
  <si>
    <t>HEB Frozen Mango Chunks (16 oz)</t>
  </si>
  <si>
    <t>16oz</t>
  </si>
  <si>
    <t>HEB More Fruit Peach &amp; Mango Fruit Spread (15.5oz)</t>
  </si>
  <si>
    <t>15.5oz</t>
  </si>
  <si>
    <t>Hill Country Fare Pineapple Preserves (16 oz)</t>
  </si>
  <si>
    <t>Hill Country Fare Strawberry Preserves (32 oz)</t>
  </si>
  <si>
    <t>32oz</t>
  </si>
  <si>
    <t>Fresh Granny Smith Apples (3 lb Bag)</t>
  </si>
  <si>
    <t>3lb bag</t>
  </si>
  <si>
    <t>HEB Fresh Bananas</t>
  </si>
  <si>
    <t>2.58lbs</t>
  </si>
  <si>
    <t xml:space="preserve">HEB Spinach (9oz Bag) </t>
  </si>
  <si>
    <t>9oz bag</t>
  </si>
  <si>
    <t>HEB Bag of Lemons</t>
  </si>
  <si>
    <t>2lb bag (~10 lemons)</t>
  </si>
  <si>
    <t>HEB Baby Spring Mix (10 oz)</t>
  </si>
  <si>
    <t>10oz box</t>
  </si>
  <si>
    <t>HCF Whole Milk</t>
  </si>
  <si>
    <t>1 gal</t>
  </si>
  <si>
    <t>HCF Fat Free Milk</t>
  </si>
  <si>
    <t>HEB Almond Milk - Higher Harvest</t>
  </si>
  <si>
    <t>.5 gal</t>
  </si>
  <si>
    <t>HEB Original Coconut Milk</t>
  </si>
  <si>
    <t>HEB Original Oat Milk</t>
  </si>
  <si>
    <t>HEB Half &amp; Half (64oz)</t>
  </si>
  <si>
    <t>HEB Heavy Whipping Cream (32oz)</t>
  </si>
  <si>
    <t>HEB Real Original Dairy Whip Cream (13oz)</t>
  </si>
  <si>
    <t>13oz (37 Servings)</t>
  </si>
  <si>
    <t>HEB Original Pancake &amp; Waffle Syrup (36 oz)</t>
  </si>
  <si>
    <t>36oz</t>
  </si>
  <si>
    <t>HEB Sweetened Condensed Milk (14 oz)</t>
  </si>
  <si>
    <t>14oz</t>
  </si>
  <si>
    <t>La Costena Pickled Jalapeno Naco Slices (15.5oz)</t>
  </si>
  <si>
    <t>Honest KidsJuice Pouches (32 pack - 6.75oz)</t>
  </si>
  <si>
    <t>Amazon</t>
  </si>
  <si>
    <t>32 Pack</t>
  </si>
  <si>
    <t>Amazon Fresh Hazelnut Spread (26.5oz)</t>
  </si>
  <si>
    <t>Lipton Black Tea Bags (100 bags)</t>
  </si>
  <si>
    <t>100 bags</t>
  </si>
  <si>
    <t>Taylors Organic Peppermint Herbal Tea (50 count)</t>
  </si>
  <si>
    <t xml:space="preserve">50 teabag </t>
  </si>
  <si>
    <t>Taylors Lemon &amp; Ginger Tea (20 count - 6 pack)</t>
  </si>
  <si>
    <t xml:space="preserve">120 teabag </t>
  </si>
  <si>
    <t>Taylors Earl Gray Tea (50 count)</t>
  </si>
  <si>
    <t>50 teabag</t>
  </si>
  <si>
    <t>Taylors English Breakfast Tea (50 count)</t>
  </si>
  <si>
    <t>Taylors Green Tea with Jasmine (50 count)</t>
  </si>
  <si>
    <t>Gold Standard Whey Protein Powder, Vanilla Ice Cream (5lb)</t>
  </si>
  <si>
    <t>5 lb</t>
  </si>
  <si>
    <t>Z Natural Foods Bee Pollen Granules (1lb)</t>
  </si>
  <si>
    <t>Califia Farms Oat Barista Milk Original 32oz (Case of 6)</t>
  </si>
  <si>
    <t>32oz - 6 pack</t>
  </si>
  <si>
    <t>Torani Sugar-Free Vanilla Syrup 25.4oz (4 pack)</t>
  </si>
  <si>
    <t>25.4oz - 4 pack</t>
  </si>
  <si>
    <t>Da Vinci Classic Vanilla Syrup 25.4 (4 pack)</t>
  </si>
  <si>
    <t>Da Vinci Classic Caramel Syrup 25.4oz (4 pack)</t>
  </si>
  <si>
    <t>Da Vinci Classic Hazelnut Syrup 25.4oz (4 pack)</t>
  </si>
  <si>
    <t>Da Vinci Classic Irish Cream Syrup 25.4oz (4 pack)</t>
  </si>
  <si>
    <t>Da Vinci Sugar Free-Irish Cream Syrup 25.4oz (4 pack)</t>
  </si>
  <si>
    <t>25.4oz - 4pack</t>
  </si>
  <si>
    <t>Da Vinci Classic Raspberry Syrup 25.4oz (4 pack)</t>
  </si>
  <si>
    <t>Da Vinci Classic Coconut Syrup 25.4oz (4 pack)</t>
  </si>
  <si>
    <t>Da Vinci Lavendar Syrup 25.4oz (1 pack)</t>
  </si>
  <si>
    <t>25.4oz</t>
  </si>
  <si>
    <t>Da Vinci Rose Syrup 25.4oz (1 pack)</t>
  </si>
  <si>
    <t>Da Vinci Classic Cinnamon Syrup 25.4oz (4 pack)</t>
  </si>
  <si>
    <t>Da Vinci Classic Cane Sugar Syrup 25.4oz (4 pack)</t>
  </si>
  <si>
    <t>Da Vinci Classic Strawberry Syrup 25.4oz (4 pack)</t>
  </si>
  <si>
    <t>Da Vinci Classic Blueberry Syrup 25.4oz (4 pack)</t>
  </si>
  <si>
    <t>Califia Farms Almond Barista Milk Unsweetened 32oz (Case of 6)</t>
  </si>
  <si>
    <t>Pacific Barista Series Original Coconut Milk 32 oz (12 Pack)</t>
  </si>
  <si>
    <t>32oz - 12 pack</t>
  </si>
  <si>
    <t>Ghirardelli White Chocolate Sauce (87.3oz)</t>
  </si>
  <si>
    <t>87.3 oz</t>
  </si>
  <si>
    <t>Ghirardelli Caramel Sauce Syrup (90.4.3oz)</t>
  </si>
  <si>
    <t>90.4 oz</t>
  </si>
  <si>
    <t>Bluemania Energy Prime (24 cans)</t>
  </si>
  <si>
    <t>24 cans</t>
  </si>
  <si>
    <t>Bluemania Sugar-Free Energy Prime (24 cans)</t>
  </si>
  <si>
    <t>Amazon Grocery Nutmeg, Ground (3.25 oz)</t>
  </si>
  <si>
    <t>3.25oz</t>
  </si>
  <si>
    <t>Solimo Coconut MCT Oil Unflavored (32oz)</t>
  </si>
  <si>
    <t>CBD Oil 2000mg 2.2oz bottle</t>
  </si>
  <si>
    <t>Vendor</t>
  </si>
  <si>
    <t>2000mg - 2.2oz</t>
  </si>
  <si>
    <t>Better Body Foods Organic Superfood Blend (12.7 oz - 30 Servings)</t>
  </si>
  <si>
    <t>30 servings</t>
  </si>
  <si>
    <t>Nitrogen Gas Cyclinder Tank (24 x 5 Gallon Keg)</t>
  </si>
  <si>
    <t xml:space="preserve">Vendor </t>
  </si>
  <si>
    <t>4 gallon</t>
  </si>
  <si>
    <t>Food Supplies</t>
  </si>
  <si>
    <t>Numinous Kolaches</t>
  </si>
  <si>
    <t>HEB Creamy Tomato Basil Soup (31.4oz jar)</t>
  </si>
  <si>
    <t>31.4oz</t>
  </si>
  <si>
    <t>HEB Organic Tomato Basil Soup (17.3oz box)</t>
  </si>
  <si>
    <t>17.3oz</t>
  </si>
  <si>
    <t>HEB Sourdough bread (12 slices)</t>
  </si>
  <si>
    <t>12 slices</t>
  </si>
  <si>
    <t>Thomas Everything Bagels (6 ct)</t>
  </si>
  <si>
    <t>6 count</t>
  </si>
  <si>
    <t>Thomas Plan Bagels (6 ct)</t>
  </si>
  <si>
    <t>Hill Country Fare Sliced Mozzarella Cheese</t>
  </si>
  <si>
    <t>10 Slices</t>
  </si>
  <si>
    <t>Hill Country Fare Shredded Cheddar Cheese</t>
  </si>
  <si>
    <t>Cafe Olympia Traditional Feta Cheese Crumbles (6 oz)</t>
  </si>
  <si>
    <t>6oz</t>
  </si>
  <si>
    <t>Oven Roasted Turkey Breast Mega Pack (22oz) (42 slices)</t>
  </si>
  <si>
    <t>42 slices</t>
  </si>
  <si>
    <t>Fresh Roma Tomato (avg .29 lb/each)</t>
  </si>
  <si>
    <t>HEB Grape Tomatoes (10 oz)</t>
  </si>
  <si>
    <t>10oz</t>
  </si>
  <si>
    <t>HEB Marinara Sauce</t>
  </si>
  <si>
    <t>24oz jar</t>
  </si>
  <si>
    <t>HEB Basil Pesto (6.7oz)</t>
  </si>
  <si>
    <t>6.7oz jar</t>
  </si>
  <si>
    <t>Mantova Pesto Genovese (6.5oz)</t>
  </si>
  <si>
    <t>6.5oz jar</t>
  </si>
  <si>
    <t>HEB Real Mayonaisse (30oz)</t>
  </si>
  <si>
    <t>30oz</t>
  </si>
  <si>
    <t>Libby's Pure Pumpkin Can (15oz)</t>
  </si>
  <si>
    <t>15oz Can</t>
  </si>
  <si>
    <t>Toll House Semi-Sweet Chocolate Chips (4.5 lb)</t>
  </si>
  <si>
    <t>Costco</t>
  </si>
  <si>
    <t>4.5 lb</t>
  </si>
  <si>
    <t>HEB Unsweetened Cocoa Powder (8 oz)</t>
  </si>
  <si>
    <t>8oz</t>
  </si>
  <si>
    <t>HEB Brown Sugar</t>
  </si>
  <si>
    <t>2lb bag</t>
  </si>
  <si>
    <t>C&amp;H Powdered Sugar</t>
  </si>
  <si>
    <t>Bob's Red Mill Gluten Free 1-to-1 Baking Flour, 22-ounce (Pack of 4)</t>
  </si>
  <si>
    <t>4 * 22oz bags</t>
  </si>
  <si>
    <t>Canyon Bakehouse Gluten Free Country White Bread (18oz)</t>
  </si>
  <si>
    <t>18oz</t>
  </si>
  <si>
    <t>HCF Enriched Yellow Cornmeal (5lb)</t>
  </si>
  <si>
    <t>HCF Baking Powder (8.1oz)</t>
  </si>
  <si>
    <t>8.1oz</t>
  </si>
  <si>
    <t>HCF Baking Soda (64oz)</t>
  </si>
  <si>
    <t>HCF Cornstarch (1lb)</t>
  </si>
  <si>
    <t>Hungry Jack Complete Buttermilk Waffle Mix (32 oz)</t>
  </si>
  <si>
    <t>HEB Iodized salt (26oz)</t>
  </si>
  <si>
    <t>26oz can</t>
  </si>
  <si>
    <t>Hill Country Fare Large White Eggs (36 pack)</t>
  </si>
  <si>
    <t>36 eggs</t>
  </si>
  <si>
    <t>Hill Country Fare Egg Whites</t>
  </si>
  <si>
    <t>HEB Texas Heritage Original Smoked Sausage - Original (13oz)</t>
  </si>
  <si>
    <t>13oz</t>
  </si>
  <si>
    <t>HCF Cheddar Cheese Sliced</t>
  </si>
  <si>
    <t>Waterloo Sparkling Water (12 Pack)</t>
  </si>
  <si>
    <t>Topo Chico (12oz-12 pack)</t>
  </si>
  <si>
    <t>HCF Original Pepperoni Slices - Texas Size Pack (21oz bag) (~90 slices)</t>
  </si>
  <si>
    <t>21oz</t>
  </si>
  <si>
    <t>HCF Canola Cooking Spray (17oz)</t>
  </si>
  <si>
    <t>17oz can</t>
  </si>
  <si>
    <t>Kraft Classic Ranch Salad Dressing  (16 oz)</t>
  </si>
  <si>
    <t>HEB Balsamic Vinaigrette Dressing (16oz)</t>
  </si>
  <si>
    <t>Jif Peanut Butter (2 pack)</t>
  </si>
  <si>
    <t>6 lbs</t>
  </si>
  <si>
    <t>Kirkland Unsalted Butter (16oz, 4-count)</t>
  </si>
  <si>
    <t>United Sugars Extra Fine Granulated Sugar (25lb)</t>
  </si>
  <si>
    <t>25lb</t>
  </si>
  <si>
    <t>H&amp;R All Purpose Flour (25lb)</t>
  </si>
  <si>
    <t>Kirkland Canola Oil (2-count, 2.84 L)</t>
  </si>
  <si>
    <t>192oz</t>
  </si>
  <si>
    <t xml:space="preserve"> </t>
  </si>
  <si>
    <t>Kirkland Wild Flower Honey (5 lbs)</t>
  </si>
  <si>
    <t>80oz</t>
  </si>
  <si>
    <t>Kirkland Signature Pure Vanilla (16oz)</t>
  </si>
  <si>
    <t>Kirkland Maple Syrup (33.8 oz)</t>
  </si>
  <si>
    <t>33.8oz</t>
  </si>
  <si>
    <t>Kirkland Pecan Halves (2 lbs)</t>
  </si>
  <si>
    <t>32 oz</t>
  </si>
  <si>
    <t>Sunchips (variety 30 pack)</t>
  </si>
  <si>
    <t>30 bags</t>
  </si>
  <si>
    <t>SEN CHA Naturals Organic Everyday Matcha Powder (1lb)</t>
  </si>
  <si>
    <t>Mrs. Vickie's Kettle Cooked Potato Chips (variety 28 pack)</t>
  </si>
  <si>
    <t>28 bags (8oz)</t>
  </si>
  <si>
    <t>McCormick Italian Seasoning (6.25oz)</t>
  </si>
  <si>
    <t>6.25oz</t>
  </si>
  <si>
    <t>McCormick Cream of Tartar (25oz)</t>
  </si>
  <si>
    <t>25oz</t>
  </si>
  <si>
    <t>McCormick Culinary Dried Basil Leaves (5 oz)</t>
  </si>
  <si>
    <t>5 oz</t>
  </si>
  <si>
    <t>Fisher Chopped Pecans (24 oz)</t>
  </si>
  <si>
    <t>(Old Brand Sanniti) Rani Ground Cardamom (16oz)</t>
  </si>
  <si>
    <t>Fresh Finest Ground Cinnamon (5 lb)</t>
  </si>
  <si>
    <t>5lb</t>
  </si>
  <si>
    <t>Sugar In The Raw Packets (500 per case)</t>
  </si>
  <si>
    <t>500 packets</t>
  </si>
  <si>
    <t>ecoStick Packets Organic White Sugar (2000 Count)</t>
  </si>
  <si>
    <t>2000 packets</t>
  </si>
  <si>
    <t>Pure Via Stevia Sweetener (800 packets)</t>
  </si>
  <si>
    <t>800 packets</t>
  </si>
  <si>
    <t>Splenda Sweetener Value Pack (800 packets)</t>
  </si>
  <si>
    <t>Complements Pink Sweetener Packets (2000 packets)</t>
  </si>
  <si>
    <t>Cholula Original Hot Sauce Packets (200 Packets)</t>
  </si>
  <si>
    <t>200 packets</t>
  </si>
  <si>
    <t>Kraft Mayo Packets (200 Packets)</t>
  </si>
  <si>
    <t>Heinz Mild Mustard Single Packet (200 Packets)</t>
  </si>
  <si>
    <t>Fiji Waters 16.9oz (24 Pack)</t>
  </si>
  <si>
    <t>36 pack</t>
  </si>
  <si>
    <t>Philidelphia Cream Cheese Packets (.75oz)</t>
  </si>
  <si>
    <t xml:space="preserve">100 packets </t>
  </si>
  <si>
    <t xml:space="preserve">Packaging Supplies </t>
  </si>
  <si>
    <t>TVTopValue 4oz White Paper Hot Cup (case of 600)</t>
  </si>
  <si>
    <t xml:space="preserve">600 count </t>
  </si>
  <si>
    <t>4oz Black Hot Cup Lids (case of 500)</t>
  </si>
  <si>
    <t>500 count</t>
  </si>
  <si>
    <t>AOZITA 8oz White Paper Hot Cups (case of 592)</t>
  </si>
  <si>
    <t>592 count</t>
  </si>
  <si>
    <t>Karat PP 8oz Black Hot Cup Lids (case of 1000)</t>
  </si>
  <si>
    <t>1000 count</t>
  </si>
  <si>
    <t>Karat C-K512WU 12oz White Paper Hot Cups (case of 1000)</t>
  </si>
  <si>
    <t>Solo 316W 16oz Paper Hot Cup (case of 1000)</t>
  </si>
  <si>
    <t>Karat 20oz Premium White Paper Hot Cup (case of 600)</t>
  </si>
  <si>
    <t>Karat C-KC16 16oz PET Plastic Cold Cups (case of 1000)</t>
  </si>
  <si>
    <t>Karat C-KC20 20oz PET Plastic Cold Cups (case of 1000)</t>
  </si>
  <si>
    <t>Karat C-KC24 24oz PET Plastic Cold Cups (Case of 600)</t>
  </si>
  <si>
    <t>600 count</t>
  </si>
  <si>
    <t>Karat 12-20oz Black Hot Cup Lids (case of 1000)</t>
  </si>
  <si>
    <t>JOLLY CHEF Sipper Lids 98mm width, Fits for 12-20 Oz Lids (Case of 1000)</t>
  </si>
  <si>
    <t>Karat Earth 16-24oz PET Dome Lids (Case of 1000)</t>
  </si>
  <si>
    <t>FMP Brands - Kraft Coffee Cup Sleeves for 12-24 oz Cups (1000 Count)</t>
  </si>
  <si>
    <t>DuraHome 8in Plastic Wrapped Straws Black (1000 Count)</t>
  </si>
  <si>
    <t>Beverage Plugs 5" (400 pack)</t>
  </si>
  <si>
    <t>400 count</t>
  </si>
  <si>
    <t>StixToGo BLACK Circle Beverage Plug (400 Pieces)</t>
  </si>
  <si>
    <t>Tork White Beverage Napkins (500 count - 8 Pack)</t>
  </si>
  <si>
    <t>4000 count</t>
  </si>
  <si>
    <t>Georgia-Pacific Dixie Pan Liner 16"x24" (1000 Sheet)</t>
  </si>
  <si>
    <t>1000 sheets</t>
  </si>
  <si>
    <t>JA Kitchens Burger/Sandwich Wrapping Paper 12in (1000 Sheet)</t>
  </si>
  <si>
    <t>1000 sheet</t>
  </si>
  <si>
    <t>QLSmypkg Large Muffin Greaseproof Baking Cup Natural (125 piece)</t>
  </si>
  <si>
    <t>125 piece</t>
  </si>
  <si>
    <t xml:space="preserve">
Bagcraft Ecocraft Grease-Resistant Sandwich Bags, 6.5" X 8", Natural, (2,000 count)</t>
  </si>
  <si>
    <t>2000 count</t>
  </si>
  <si>
    <t>Karat 12lb Kraft Brown Paper Bag (1000 count)</t>
  </si>
  <si>
    <t>Karat 2oz Clear Portion Cup (2500 count)</t>
  </si>
  <si>
    <t>2500 count</t>
  </si>
  <si>
    <t>Karat 2oz Clear Portion Lid (2500 count)</t>
  </si>
  <si>
    <t>Choice Paper Hot Food Cup 12oz with Lid (250 count)</t>
  </si>
  <si>
    <t xml:space="preserve">Webstarant </t>
  </si>
  <si>
    <t>250 count</t>
  </si>
  <si>
    <t>Choice Paper Hot Food Cup 8oz with Lid (250 count)</t>
  </si>
  <si>
    <t>Daxwell 8x8x3" Hinged Plastic Take Out Container (Case of 200)</t>
  </si>
  <si>
    <t>200 count</t>
  </si>
  <si>
    <t>Comfy Bamboo Wooden Toothpick (2000 count)</t>
  </si>
  <si>
    <t>Karat C5000 4 Cup Holder (Case of 300)</t>
  </si>
  <si>
    <t>Disposable Fork Medium Weight, Black (Pack of 1000)</t>
  </si>
  <si>
    <t>Disposable Soup Spoon Medium Weight, Black (Pack of 1000)</t>
  </si>
  <si>
    <t>Disposable Knife Medium Weight, Black (Pack of 1000)</t>
  </si>
  <si>
    <t>Next Day Flyers 2" Round Stickers (5,000 stickers)</t>
  </si>
  <si>
    <t>5000 count</t>
  </si>
  <si>
    <t xml:space="preserve">Cleaning + Other Supplies </t>
  </si>
  <si>
    <t>SpringCare Nitrile Gloves Large (Pack of 1000)</t>
  </si>
  <si>
    <t>Heavy Duty Scrub Sponge (50 Count)</t>
  </si>
  <si>
    <t>50 Count</t>
  </si>
  <si>
    <t>Reli Super Value 2-4 Gallon Small Trash Bags (2000 Count)</t>
  </si>
  <si>
    <t>Aluf Plastics 26 Gallon For Slim Jim 1.25 MIL (eq) Black Heavy Duty Trash Bags - 29 inch X 44 inch - 1 Count (Pack of 200)</t>
  </si>
  <si>
    <t xml:space="preserve">
Reli. 40 to 45 Gallon Trash Bags Heavy Duty  (250 count)</t>
  </si>
  <si>
    <t xml:space="preserve">Hill Country Fare Bleach 64 fl oz (Pack of 1) </t>
  </si>
  <si>
    <t>Simple Green All Purpose Concentate (1 gallon - 2 Pack)</t>
  </si>
  <si>
    <t>256 oz</t>
  </si>
  <si>
    <t xml:space="preserve">Hydrion QT-40 Test Tape 15ft Roll </t>
  </si>
  <si>
    <t>iMark Premium Black Stamp Ink Refill (4oz)</t>
  </si>
  <si>
    <t>Liquid Chalk Markers Multicolored (30 Pack)</t>
  </si>
  <si>
    <t>Liquid Chalk Markers White (Pack of 12)</t>
  </si>
  <si>
    <t>General Supply 2-Ply 9" Jumbo Toilet Paper (12 Rolls)</t>
  </si>
  <si>
    <t>12 rolls</t>
  </si>
  <si>
    <t>Lysol Power Toilet Bowl Cleaner Gel (24 Fl oz 2-pack)</t>
  </si>
  <si>
    <t>48oz</t>
  </si>
  <si>
    <t>Karat Commercial Paper Towel Rolls Kraft (6 Pack)</t>
  </si>
  <si>
    <t>6 rolls</t>
  </si>
  <si>
    <t>Milk Bone Mini Dog Treat (36 oz)</t>
  </si>
  <si>
    <t>Steramine Sanitizing 150 Tablets (Pack of 4)</t>
  </si>
  <si>
    <t>Sprayway Glass Cleaner (19oz - Pack of 3)</t>
  </si>
  <si>
    <t>Palmolive Liquid Dish Soap (102oz)</t>
  </si>
  <si>
    <t>Amazon Basics Gentle &amp; Mild Clear Liquid Hand Soap Refill, Triclosan-Free, 50 Fl Oz (Pack of 2)</t>
  </si>
  <si>
    <t>100oz</t>
  </si>
  <si>
    <t>12oz coffee bags (100 bags)</t>
  </si>
  <si>
    <t>2.5oz coffee bags ()</t>
  </si>
  <si>
    <t>Total % change if ordering 1 of everything</t>
  </si>
  <si>
    <t>Type</t>
  </si>
  <si>
    <t>Packaging Cost</t>
  </si>
  <si>
    <t>Latte Cost with packaging</t>
  </si>
  <si>
    <t>Latte Menu Price</t>
  </si>
  <si>
    <t>COGS</t>
  </si>
  <si>
    <t>Profit</t>
  </si>
  <si>
    <t>Small hot</t>
  </si>
  <si>
    <t>Core Menu Items</t>
  </si>
  <si>
    <t>Medium hot</t>
  </si>
  <si>
    <t>Large Hot</t>
  </si>
  <si>
    <t>Recipe :</t>
  </si>
  <si>
    <t xml:space="preserve">Small Matcha Latte </t>
  </si>
  <si>
    <t>16oz Iced</t>
  </si>
  <si>
    <t>Small Iced</t>
  </si>
  <si>
    <t>Serving Quantity:</t>
  </si>
  <si>
    <t>Medium Iced</t>
  </si>
  <si>
    <t>Large Iced</t>
  </si>
  <si>
    <t>Ingredients</t>
  </si>
  <si>
    <t xml:space="preserve">Recipe </t>
  </si>
  <si>
    <t>Cost per unit</t>
  </si>
  <si>
    <t xml:space="preserve">Cost for Recipe </t>
  </si>
  <si>
    <t>Panini</t>
  </si>
  <si>
    <t>Matcha Powder</t>
  </si>
  <si>
    <t>teaspoon</t>
  </si>
  <si>
    <t>Milk</t>
  </si>
  <si>
    <t>oz</t>
  </si>
  <si>
    <t xml:space="preserve">Packaging </t>
  </si>
  <si>
    <t>16 oz iced cup</t>
  </si>
  <si>
    <t>unit</t>
  </si>
  <si>
    <t>iced lid</t>
  </si>
  <si>
    <t>straw</t>
  </si>
  <si>
    <t>sticker</t>
  </si>
  <si>
    <t xml:space="preserve">Cost per batch </t>
  </si>
  <si>
    <t>20% COGS Menu Pricing</t>
  </si>
  <si>
    <t>2023 Price</t>
  </si>
  <si>
    <t>COGS % at current price</t>
  </si>
  <si>
    <t>New Price</t>
  </si>
  <si>
    <t>COGS with New Price</t>
  </si>
  <si>
    <t>Large Matcha Latte</t>
  </si>
  <si>
    <t>24oz Iced</t>
  </si>
  <si>
    <t>24 oz iced cup</t>
  </si>
  <si>
    <t>Small Chai Latte</t>
  </si>
  <si>
    <t>Chai</t>
  </si>
  <si>
    <t>Large Chai Latte</t>
  </si>
  <si>
    <t>Profit per Sale</t>
  </si>
  <si>
    <t>Green Smoothie</t>
  </si>
  <si>
    <t>Smoothie</t>
  </si>
  <si>
    <t>Green Apple</t>
  </si>
  <si>
    <t>grams</t>
  </si>
  <si>
    <t>Banana</t>
  </si>
  <si>
    <t>Peanut Butter</t>
  </si>
  <si>
    <t>Spinach</t>
  </si>
  <si>
    <t xml:space="preserve">Oat Milk </t>
  </si>
  <si>
    <t>Tropical Smoothie</t>
  </si>
  <si>
    <t>TRIAL</t>
  </si>
  <si>
    <t>Frozen Mango</t>
  </si>
  <si>
    <t>Mango Peach Jam</t>
  </si>
  <si>
    <t>tablespoon</t>
  </si>
  <si>
    <t>Pinapple Jam</t>
  </si>
  <si>
    <t>banana</t>
  </si>
  <si>
    <t>Coconut Milk</t>
  </si>
  <si>
    <t>Current Menu Price</t>
  </si>
  <si>
    <t>Strawberry Smoothie</t>
  </si>
  <si>
    <t xml:space="preserve">16oz </t>
  </si>
  <si>
    <t>Frozen Strawberries</t>
  </si>
  <si>
    <t>Strawberry Preserve</t>
  </si>
  <si>
    <t>Drip Coffee</t>
  </si>
  <si>
    <t>12 oz</t>
  </si>
  <si>
    <t>Drink</t>
  </si>
  <si>
    <t>Coffee Beans per 1.5 gal</t>
  </si>
  <si>
    <t>12oz hot cup</t>
  </si>
  <si>
    <t>Black lid</t>
  </si>
  <si>
    <t>Sleeve</t>
  </si>
  <si>
    <t>Cortado</t>
  </si>
  <si>
    <t>Double Espresso</t>
  </si>
  <si>
    <t>8oz hot cup</t>
  </si>
  <si>
    <t>Black 8oz lid</t>
  </si>
  <si>
    <t>Kids Steamer</t>
  </si>
  <si>
    <t>Vanilla Syrup</t>
  </si>
  <si>
    <t>Cinnamon</t>
  </si>
  <si>
    <t>Chocolate Milk/Hot Chocolate</t>
  </si>
  <si>
    <t>12oz</t>
  </si>
  <si>
    <t>Mocha</t>
  </si>
  <si>
    <t>Tablespoon</t>
  </si>
  <si>
    <t>Black 12oz lid</t>
  </si>
  <si>
    <t>Mocha Mix</t>
  </si>
  <si>
    <t>Tablespoons:</t>
  </si>
  <si>
    <t>Cocoa Powder</t>
  </si>
  <si>
    <t>cups</t>
  </si>
  <si>
    <t>Sugar</t>
  </si>
  <si>
    <t>Cost per oz</t>
  </si>
  <si>
    <t>Lemonade Concentrate (64oz)</t>
  </si>
  <si>
    <t>Lemon (~10 lemons)</t>
  </si>
  <si>
    <t>bag lemons</t>
  </si>
  <si>
    <t>lb</t>
  </si>
  <si>
    <t>cup</t>
  </si>
  <si>
    <t>Water</t>
  </si>
  <si>
    <t>Lemonade</t>
  </si>
  <si>
    <t>16 oz</t>
  </si>
  <si>
    <t>Lemonade Concentrate</t>
  </si>
  <si>
    <t>24 oz</t>
  </si>
  <si>
    <t xml:space="preserve">Energy Drink </t>
  </si>
  <si>
    <t>Energy Drink (8.4 oz)</t>
  </si>
  <si>
    <t>Syrup (2 Pumps)</t>
  </si>
  <si>
    <t>Milkshake</t>
  </si>
  <si>
    <t>Ice Cream (1 scoop = 4 oz)</t>
  </si>
  <si>
    <t>Caramel</t>
  </si>
  <si>
    <t xml:space="preserve">Small Lavender Latte </t>
  </si>
  <si>
    <t>Lavender Syrup</t>
  </si>
  <si>
    <t>Large Lavender Latte</t>
  </si>
  <si>
    <t/>
  </si>
  <si>
    <t>Nitro Cold Brew</t>
  </si>
  <si>
    <t>Cold Brew (24oz)</t>
  </si>
  <si>
    <t>Nitrogen per refill</t>
  </si>
  <si>
    <t>Frappe</t>
  </si>
  <si>
    <t>Cold Brew (8oz)</t>
  </si>
  <si>
    <t>Whole Milk</t>
  </si>
  <si>
    <t xml:space="preserve">Cup Drizzle </t>
  </si>
  <si>
    <t>Whip Cream (4 tbsp)</t>
  </si>
  <si>
    <t>bubble lid</t>
  </si>
  <si>
    <t>Affogato</t>
  </si>
  <si>
    <t xml:space="preserve">8oz </t>
  </si>
  <si>
    <t xml:space="preserve">Double Espresso Shot </t>
  </si>
  <si>
    <t>8 oz hot cup</t>
  </si>
  <si>
    <t>Hot lid</t>
  </si>
  <si>
    <t xml:space="preserve">Spoon </t>
  </si>
  <si>
    <t>Napkin</t>
  </si>
  <si>
    <t>Seasonal Drinks</t>
  </si>
  <si>
    <t>Ocean Water</t>
  </si>
  <si>
    <t>Coconut Syrup (3 pumps)</t>
  </si>
  <si>
    <t>Sprite Can</t>
  </si>
  <si>
    <t>oz (2 Tablespoons)</t>
  </si>
  <si>
    <t>Blue Food Coloring (drops)</t>
  </si>
  <si>
    <t xml:space="preserve">units </t>
  </si>
  <si>
    <t>Cherry</t>
  </si>
  <si>
    <t xml:space="preserve">unit </t>
  </si>
  <si>
    <t>2024 Menu Recipe Calculator</t>
  </si>
  <si>
    <t>Recipe:</t>
  </si>
  <si>
    <t>Blueberry Muffins</t>
  </si>
  <si>
    <t>Serving Quantity</t>
  </si>
  <si>
    <t>Muffin</t>
  </si>
  <si>
    <t>Unsalted Butter</t>
  </si>
  <si>
    <t>White Sugar</t>
  </si>
  <si>
    <t xml:space="preserve">cup </t>
  </si>
  <si>
    <t>Eggs</t>
  </si>
  <si>
    <t xml:space="preserve">Vanilla Extract </t>
  </si>
  <si>
    <t>Flour</t>
  </si>
  <si>
    <t>Iodized Salt</t>
  </si>
  <si>
    <t>Baking Powder</t>
  </si>
  <si>
    <t>Frozen Blueberries</t>
  </si>
  <si>
    <t>Topping</t>
  </si>
  <si>
    <t>Muffin Baking Cup</t>
  </si>
  <si>
    <t xml:space="preserve">Kraft Brown Bag 6x8" </t>
  </si>
  <si>
    <t>Double Chocolate Muffins</t>
  </si>
  <si>
    <t>Chocolate Chips</t>
  </si>
  <si>
    <t>Chocolate Chip Cookies</t>
  </si>
  <si>
    <t>100 Grams</t>
  </si>
  <si>
    <t>Cookie</t>
  </si>
  <si>
    <t>Brown Sugar</t>
  </si>
  <si>
    <t>Maple Syrup</t>
  </si>
  <si>
    <t>Corn Starch</t>
  </si>
  <si>
    <t>Baking Soda</t>
  </si>
  <si>
    <t>GF Snickerdoodle Cookies</t>
  </si>
  <si>
    <t>75 Grams</t>
  </si>
  <si>
    <t>Gluten-Free Flour</t>
  </si>
  <si>
    <t>Cream of Tartar</t>
  </si>
  <si>
    <t xml:space="preserve">Cinnamon </t>
  </si>
  <si>
    <t>Chocolate Chip Peanut Butter Cookies</t>
  </si>
  <si>
    <t xml:space="preserve">100 Grams </t>
  </si>
  <si>
    <t>Honey Cake</t>
  </si>
  <si>
    <t>pairs</t>
  </si>
  <si>
    <t>Cake</t>
  </si>
  <si>
    <t>Honey</t>
  </si>
  <si>
    <t>Cornmeal</t>
  </si>
  <si>
    <t>Cardamom Powder</t>
  </si>
  <si>
    <t>Powdered Sugar</t>
  </si>
  <si>
    <t>Cost per 3</t>
  </si>
  <si>
    <t>Banana Nut Bread</t>
  </si>
  <si>
    <t>Bread Loaf</t>
  </si>
  <si>
    <t>Bananas</t>
  </si>
  <si>
    <t xml:space="preserve">Vanilla </t>
  </si>
  <si>
    <t>Salt</t>
  </si>
  <si>
    <t>Pecans</t>
  </si>
  <si>
    <t>Pumpkin Bread</t>
  </si>
  <si>
    <t>Bread loaf</t>
  </si>
  <si>
    <t>Canola Oil</t>
  </si>
  <si>
    <t>Nutmeg</t>
  </si>
  <si>
    <t>Pumpkin Puree</t>
  </si>
  <si>
    <t xml:space="preserve">Buttermilk Waffle </t>
  </si>
  <si>
    <t>Waffle</t>
  </si>
  <si>
    <t>Waffle Mix</t>
  </si>
  <si>
    <t>Spritz of oil</t>
  </si>
  <si>
    <t>Vanilla Extract</t>
  </si>
  <si>
    <t>Butter</t>
  </si>
  <si>
    <t>Syrup</t>
  </si>
  <si>
    <t>Clamshell</t>
  </si>
  <si>
    <t>2 oz portion cup</t>
  </si>
  <si>
    <t>Knife</t>
  </si>
  <si>
    <t>Fork</t>
  </si>
  <si>
    <t>Tomato Basil Soup Cup</t>
  </si>
  <si>
    <t>Soup</t>
  </si>
  <si>
    <t>Jar of Tomato Basil Soup</t>
  </si>
  <si>
    <t>Box of Organic Tomato Basil Soup</t>
  </si>
  <si>
    <t>Dried Basil</t>
  </si>
  <si>
    <t>Croutons</t>
  </si>
  <si>
    <t>Cup</t>
  </si>
  <si>
    <t>spoon</t>
  </si>
  <si>
    <t>Tomato Basil Soup Bowl</t>
  </si>
  <si>
    <t>bowl</t>
  </si>
  <si>
    <t>Pesto Sauce</t>
  </si>
  <si>
    <t>tbsp</t>
  </si>
  <si>
    <t>Sauce</t>
  </si>
  <si>
    <t>Pesto</t>
  </si>
  <si>
    <t>Mayo</t>
  </si>
  <si>
    <t>Cost per tbsp</t>
  </si>
  <si>
    <t>Turkey Pesto Panini</t>
  </si>
  <si>
    <t>Bread</t>
  </si>
  <si>
    <t>Mozzarella Slice</t>
  </si>
  <si>
    <t>Sliced Turkey</t>
  </si>
  <si>
    <t>Spritz of Oil</t>
  </si>
  <si>
    <t>Marinara</t>
  </si>
  <si>
    <t>tablesppon</t>
  </si>
  <si>
    <t>Wrapping Paper</t>
  </si>
  <si>
    <t xml:space="preserve">2oz portion cup </t>
  </si>
  <si>
    <t xml:space="preserve">Napkin </t>
  </si>
  <si>
    <t>Profit per sale</t>
  </si>
  <si>
    <t>Caprese Panini</t>
  </si>
  <si>
    <t>Tomato (1 slice=1oz)</t>
  </si>
  <si>
    <t>Pizza Panini</t>
  </si>
  <si>
    <t>Pepporoni (1oz=12 slices)</t>
  </si>
  <si>
    <t>Breakfast Patty</t>
  </si>
  <si>
    <t xml:space="preserve">4 pans </t>
  </si>
  <si>
    <t>Liquid Egg Whites</t>
  </si>
  <si>
    <t>Shredded Mozzarella</t>
  </si>
  <si>
    <t>To be removed (or 1/2 Tablespoon!)</t>
  </si>
  <si>
    <t>Sausage</t>
  </si>
  <si>
    <t>(~6 chunks)</t>
  </si>
  <si>
    <t>Cost per batch</t>
  </si>
  <si>
    <t>Breakfast Panini</t>
  </si>
  <si>
    <t>Cheddar Slice</t>
  </si>
  <si>
    <t>Cholula Hot Sauce</t>
  </si>
  <si>
    <t>Grilled Cheese</t>
  </si>
  <si>
    <t>Kynda House Salad</t>
  </si>
  <si>
    <t>Salad</t>
  </si>
  <si>
    <t>Spring Mix</t>
  </si>
  <si>
    <t>Grape Tomatoes (~4 tomatoes)</t>
  </si>
  <si>
    <t>Balsamic Dressing</t>
  </si>
  <si>
    <t>Cheddar Cheese (1/4 cup)</t>
  </si>
  <si>
    <t>Croutons (oil spray cost only)</t>
  </si>
  <si>
    <t>Clear Container</t>
  </si>
  <si>
    <t>Napkins</t>
  </si>
  <si>
    <t>2 oz Portinon Cup</t>
  </si>
  <si>
    <t>Bagel with Cream Cheese</t>
  </si>
  <si>
    <t>Bagel</t>
  </si>
  <si>
    <t>Cream Cheese Packet</t>
  </si>
  <si>
    <t>Plastic Knife</t>
  </si>
  <si>
    <t>Sundae</t>
  </si>
  <si>
    <t>Whipped Cream (4 Tablespoons)</t>
  </si>
  <si>
    <t xml:space="preserve">8oz Food Cup </t>
  </si>
  <si>
    <t>Spoon</t>
  </si>
  <si>
    <t>Cranberry Seasonal Salad</t>
  </si>
  <si>
    <t>Tablespoons</t>
  </si>
  <si>
    <t>Cranberries</t>
  </si>
  <si>
    <t>Cost per .25 cup</t>
  </si>
  <si>
    <t>Mini Pecan Pie Muffins</t>
  </si>
  <si>
    <t xml:space="preserve">Cup </t>
  </si>
  <si>
    <t>Teaspoon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</si>
</sst>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.000"/>
  </numFmts>
  <fonts count="12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  <font>
      <color theme="1"/>
      <name val="Arial"/>
    </font>
    <font>
      <color theme="1"/>
      <name val="Arimo"/>
    </font>
    <font>
      <b/>
      <sz val="12.0"/>
      <color theme="1"/>
      <name val="Arial"/>
      <scheme val="minor"/>
    </font>
    <font/>
    <font>
      <sz val="9.0"/>
      <color theme="1"/>
      <name val="&quot;Google Sans Mono&quot;"/>
    </font>
    <font>
      <b/>
      <sz val="12.0"/>
      <color theme="1"/>
      <name val="Arial"/>
    </font>
    <font>
      <sz val="12.0"/>
      <color theme="1"/>
      <name val="Arial"/>
      <scheme val="minor"/>
    </font>
    <font>
      <sz val="11.0"/>
      <color rgb="FF1C1C1C"/>
      <name val="&quot;Noto Sans&quot;"/>
    </font>
  </fonts>
  <fills count="12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999999"/>
        <bgColor rgb="FF999999"/>
      </patternFill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5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164" xfId="0" applyAlignment="1" applyFont="1" applyNumberFormat="1">
      <alignment readingOrder="0"/>
    </xf>
    <xf borderId="0" fillId="2" fontId="1" numFmtId="164" xfId="0" applyAlignment="1" applyFont="1" applyNumberFormat="1">
      <alignment readingOrder="0"/>
    </xf>
    <xf borderId="0" fillId="2" fontId="1" numFmtId="0" xfId="0" applyAlignment="1" applyFont="1">
      <alignment horizontal="left" readingOrder="0"/>
    </xf>
    <xf borderId="0" fillId="2" fontId="1" numFmtId="1" xfId="0" applyAlignment="1" applyFont="1" applyNumberFormat="1">
      <alignment horizontal="right" readingOrder="0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horizontal="left" readingOrder="0"/>
    </xf>
    <xf borderId="0" fillId="3" fontId="2" numFmtId="0" xfId="0" applyFont="1"/>
    <xf borderId="0" fillId="3" fontId="4" numFmtId="164" xfId="0" applyAlignment="1" applyFont="1" applyNumberFormat="1">
      <alignment horizontal="left" readingOrder="0"/>
    </xf>
    <xf borderId="0" fillId="3" fontId="4" numFmtId="0" xfId="0" applyAlignment="1" applyFont="1">
      <alignment horizontal="left" readingOrder="0"/>
    </xf>
    <xf borderId="0" fillId="3" fontId="2" numFmtId="0" xfId="0" applyAlignment="1" applyFont="1">
      <alignment horizontal="left"/>
    </xf>
    <xf borderId="0" fillId="3" fontId="2" numFmtId="1" xfId="0" applyAlignment="1" applyFont="1" applyNumberFormat="1">
      <alignment horizontal="right"/>
    </xf>
    <xf borderId="0" fillId="3" fontId="2" numFmtId="164" xfId="0" applyFont="1" applyNumberFormat="1"/>
    <xf borderId="0" fillId="0" fontId="2" numFmtId="164" xfId="0" applyFont="1" applyNumberFormat="1"/>
    <xf borderId="0" fillId="0" fontId="1" numFmtId="0" xfId="0" applyAlignment="1" applyFont="1">
      <alignment readingOrder="0"/>
    </xf>
    <xf borderId="0" fillId="4" fontId="4" numFmtId="164" xfId="0" applyAlignment="1" applyFill="1" applyFont="1" applyNumberFormat="1">
      <alignment horizontal="left" readingOrder="0"/>
    </xf>
    <xf borderId="0" fillId="4" fontId="4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2" numFmtId="1" xfId="0" applyAlignment="1" applyFont="1" applyNumberFormat="1">
      <alignment horizontal="right"/>
    </xf>
    <xf borderId="0" fillId="0" fontId="2" numFmtId="10" xfId="0" applyFont="1" applyNumberForma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horizontal="left" readingOrder="0"/>
    </xf>
    <xf borderId="0" fillId="0" fontId="2" numFmtId="1" xfId="0" applyAlignment="1" applyFont="1" applyNumberFormat="1">
      <alignment horizontal="right" readingOrder="0"/>
    </xf>
    <xf borderId="0" fillId="0" fontId="2" numFmtId="164" xfId="0" applyFont="1" applyNumberFormat="1"/>
    <xf borderId="0" fillId="4" fontId="3" numFmtId="0" xfId="0" applyAlignment="1" applyFont="1">
      <alignment horizontal="left" readingOrder="0"/>
    </xf>
    <xf borderId="0" fillId="5" fontId="2" numFmtId="0" xfId="0" applyAlignment="1" applyFill="1" applyFont="1">
      <alignment readingOrder="0"/>
    </xf>
    <xf borderId="0" fillId="5" fontId="2" numFmtId="10" xfId="0" applyFont="1" applyNumberFormat="1"/>
    <xf borderId="0" fillId="5" fontId="2" numFmtId="164" xfId="0" applyAlignment="1" applyFont="1" applyNumberFormat="1">
      <alignment readingOrder="0"/>
    </xf>
    <xf borderId="0" fillId="5" fontId="2" numFmtId="0" xfId="0" applyAlignment="1" applyFont="1">
      <alignment horizontal="left" readingOrder="0"/>
    </xf>
    <xf borderId="0" fillId="5" fontId="2" numFmtId="1" xfId="0" applyAlignment="1" applyFont="1" applyNumberFormat="1">
      <alignment horizontal="right" readingOrder="0"/>
    </xf>
    <xf borderId="0" fillId="5" fontId="2" numFmtId="164" xfId="0" applyFont="1" applyNumberFormat="1"/>
    <xf borderId="0" fillId="5" fontId="2" numFmtId="164" xfId="0" applyFont="1" applyNumberFormat="1"/>
    <xf borderId="0" fillId="5" fontId="2" numFmtId="0" xfId="0" applyFont="1"/>
    <xf borderId="0" fillId="0" fontId="4" numFmtId="0" xfId="0" applyAlignment="1" applyFont="1">
      <alignment readingOrder="0" vertical="bottom"/>
    </xf>
    <xf borderId="0" fillId="5" fontId="4" numFmtId="0" xfId="0" applyAlignment="1" applyFont="1">
      <alignment horizontal="left" readingOrder="0" vertical="bottom"/>
    </xf>
    <xf borderId="0" fillId="5" fontId="2" numFmtId="10" xfId="0" applyAlignment="1" applyFont="1" applyNumberFormat="1">
      <alignment readingOrder="0"/>
    </xf>
    <xf borderId="0" fillId="5" fontId="4" numFmtId="0" xfId="0" applyAlignment="1" applyFont="1">
      <alignment readingOrder="0" vertical="bottom"/>
    </xf>
    <xf borderId="0" fillId="0" fontId="2" numFmtId="0" xfId="0" applyAlignment="1" applyFont="1">
      <alignment horizontal="right" readingOrder="0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readingOrder="0" shrinkToFit="0" vertical="bottom" wrapText="1"/>
    </xf>
    <xf borderId="0" fillId="0" fontId="4" numFmtId="0" xfId="0" applyAlignment="1" applyFont="1">
      <alignment vertical="bottom"/>
    </xf>
    <xf borderId="0" fillId="6" fontId="4" numFmtId="0" xfId="0" applyAlignment="1" applyFill="1" applyFont="1">
      <alignment readingOrder="0" vertical="bottom"/>
    </xf>
    <xf borderId="0" fillId="7" fontId="3" numFmtId="0" xfId="0" applyAlignment="1" applyFill="1" applyFont="1">
      <alignment horizontal="left" readingOrder="0"/>
    </xf>
    <xf borderId="0" fillId="7" fontId="2" numFmtId="10" xfId="0" applyFont="1" applyNumberFormat="1"/>
    <xf borderId="0" fillId="7" fontId="2" numFmtId="164" xfId="0" applyAlignment="1" applyFont="1" applyNumberFormat="1">
      <alignment readingOrder="0"/>
    </xf>
    <xf borderId="0" fillId="7" fontId="2" numFmtId="164" xfId="0" applyFont="1" applyNumberFormat="1"/>
    <xf borderId="0" fillId="7" fontId="2" numFmtId="0" xfId="0" applyAlignment="1" applyFont="1">
      <alignment horizontal="left"/>
    </xf>
    <xf borderId="0" fillId="7" fontId="2" numFmtId="1" xfId="0" applyAlignment="1" applyFont="1" applyNumberFormat="1">
      <alignment horizontal="right"/>
    </xf>
    <xf borderId="0" fillId="7" fontId="2" numFmtId="164" xfId="0" applyFont="1" applyNumberFormat="1"/>
    <xf borderId="0" fillId="7" fontId="2" numFmtId="0" xfId="0" applyFont="1"/>
    <xf borderId="0" fillId="4" fontId="3" numFmtId="1" xfId="0" applyAlignment="1" applyFont="1" applyNumberFormat="1">
      <alignment horizontal="right" readingOrder="0"/>
    </xf>
    <xf borderId="0" fillId="0" fontId="3" numFmtId="0" xfId="0" applyAlignment="1" applyFont="1">
      <alignment horizontal="left" readingOrder="0"/>
    </xf>
    <xf borderId="0" fillId="5" fontId="2" numFmtId="0" xfId="0" applyAlignment="1" applyFont="1">
      <alignment readingOrder="0" shrinkToFit="0" wrapText="1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left" readingOrder="0"/>
    </xf>
    <xf borderId="0" fillId="0" fontId="1" numFmtId="1" xfId="0" applyAlignment="1" applyFont="1" applyNumberFormat="1">
      <alignment horizontal="right" readingOrder="0"/>
    </xf>
    <xf borderId="0" fillId="0" fontId="1" numFmtId="164" xfId="0" applyAlignment="1" applyFont="1" applyNumberFormat="1">
      <alignment readingOrder="0"/>
    </xf>
    <xf borderId="0" fillId="0" fontId="5" numFmtId="1" xfId="0" applyAlignment="1" applyFont="1" applyNumberFormat="1">
      <alignment horizontal="right" readingOrder="0" vertical="bottom"/>
    </xf>
    <xf borderId="0" fillId="0" fontId="2" numFmtId="1" xfId="0" applyAlignment="1" applyFont="1" applyNumberFormat="1">
      <alignment horizontal="right" readingOrder="0" vertical="bottom"/>
    </xf>
    <xf borderId="0" fillId="0" fontId="2" numFmtId="164" xfId="0" applyAlignment="1" applyFont="1" applyNumberFormat="1">
      <alignment readingOrder="0"/>
    </xf>
    <xf borderId="0" fillId="8" fontId="4" numFmtId="0" xfId="0" applyAlignment="1" applyFill="1" applyFont="1">
      <alignment readingOrder="0" vertical="bottom"/>
    </xf>
    <xf borderId="0" fillId="8" fontId="2" numFmtId="10" xfId="0" applyFont="1" applyNumberFormat="1"/>
    <xf borderId="0" fillId="8" fontId="2" numFmtId="164" xfId="0" applyAlignment="1" applyFont="1" applyNumberFormat="1">
      <alignment readingOrder="0"/>
    </xf>
    <xf borderId="0" fillId="8" fontId="2" numFmtId="0" xfId="0" applyAlignment="1" applyFont="1">
      <alignment horizontal="left" readingOrder="0"/>
    </xf>
    <xf borderId="0" fillId="8" fontId="5" numFmtId="1" xfId="0" applyAlignment="1" applyFont="1" applyNumberFormat="1">
      <alignment horizontal="right" readingOrder="0" vertical="bottom"/>
    </xf>
    <xf borderId="0" fillId="8" fontId="2" numFmtId="164" xfId="0" applyFont="1" applyNumberFormat="1"/>
    <xf borderId="0" fillId="8" fontId="2" numFmtId="164" xfId="0" applyFont="1" applyNumberFormat="1"/>
    <xf borderId="0" fillId="8" fontId="2" numFmtId="0" xfId="0" applyFont="1"/>
    <xf borderId="0" fillId="0" fontId="2" numFmtId="0" xfId="0" applyAlignment="1" applyFont="1">
      <alignment readingOrder="0" shrinkToFit="0" wrapText="1"/>
    </xf>
    <xf borderId="0" fillId="3" fontId="2" numFmtId="10" xfId="0" applyFont="1" applyNumberFormat="1"/>
    <xf borderId="0" fillId="3" fontId="2" numFmtId="164" xfId="0" applyFont="1" applyNumberFormat="1"/>
    <xf borderId="0" fillId="3" fontId="2" numFmtId="164" xfId="0" applyAlignment="1" applyFont="1" applyNumberFormat="1">
      <alignment readingOrder="0"/>
    </xf>
    <xf borderId="0" fillId="0" fontId="4" numFmtId="0" xfId="0" applyAlignment="1" applyFont="1">
      <alignment readingOrder="0" shrinkToFit="0" wrapText="1"/>
    </xf>
    <xf borderId="0" fillId="8" fontId="2" numFmtId="0" xfId="0" applyAlignment="1" applyFont="1">
      <alignment readingOrder="0"/>
    </xf>
    <xf borderId="0" fillId="8" fontId="2" numFmtId="1" xfId="0" applyAlignment="1" applyFont="1" applyNumberFormat="1">
      <alignment horizontal="right" readingOrder="0"/>
    </xf>
    <xf borderId="0" fillId="0" fontId="6" numFmtId="0" xfId="0" applyAlignment="1" applyFont="1">
      <alignment readingOrder="0"/>
    </xf>
    <xf borderId="0" fillId="0" fontId="2" numFmtId="0" xfId="0" applyAlignment="1" applyFont="1">
      <alignment horizontal="right"/>
    </xf>
    <xf borderId="0" fillId="0" fontId="6" numFmtId="0" xfId="0" applyAlignment="1" applyFont="1">
      <alignment horizontal="left" readingOrder="0"/>
    </xf>
    <xf borderId="0" fillId="9" fontId="2" numFmtId="0" xfId="0" applyAlignment="1" applyFill="1" applyFont="1">
      <alignment horizontal="left" readingOrder="0"/>
    </xf>
    <xf borderId="0" fillId="9" fontId="2" numFmtId="0" xfId="0" applyFont="1"/>
    <xf borderId="1" fillId="2" fontId="2" numFmtId="0" xfId="0" applyAlignment="1" applyBorder="1" applyFont="1">
      <alignment horizontal="center" readingOrder="0"/>
    </xf>
    <xf borderId="2" fillId="2" fontId="2" numFmtId="0" xfId="0" applyAlignment="1" applyBorder="1" applyFont="1">
      <alignment horizontal="center" readingOrder="0"/>
    </xf>
    <xf borderId="3" fillId="0" fontId="7" numFmtId="0" xfId="0" applyBorder="1" applyFont="1"/>
    <xf borderId="0" fillId="3" fontId="2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readingOrder="0" vertical="bottom"/>
    </xf>
    <xf borderId="0" fillId="0" fontId="4" numFmtId="164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4" fillId="6" fontId="2" numFmtId="0" xfId="0" applyAlignment="1" applyBorder="1" applyFont="1">
      <alignment readingOrder="0"/>
    </xf>
    <xf borderId="5" fillId="6" fontId="2" numFmtId="164" xfId="0" applyBorder="1" applyFont="1" applyNumberFormat="1"/>
    <xf borderId="1" fillId="0" fontId="2" numFmtId="0" xfId="0" applyAlignment="1" applyBorder="1" applyFont="1">
      <alignment horizontal="center" readingOrder="0"/>
    </xf>
    <xf borderId="6" fillId="6" fontId="2" numFmtId="0" xfId="0" applyAlignment="1" applyBorder="1" applyFont="1">
      <alignment readingOrder="0"/>
    </xf>
    <xf borderId="7" fillId="6" fontId="2" numFmtId="164" xfId="0" applyBorder="1" applyFont="1" applyNumberFormat="1"/>
    <xf borderId="0" fillId="10" fontId="2" numFmtId="0" xfId="0" applyAlignment="1" applyFill="1" applyFont="1">
      <alignment readingOrder="0"/>
    </xf>
    <xf borderId="0" fillId="0" fontId="2" numFmtId="10" xfId="0" applyAlignment="1" applyFont="1" applyNumberFormat="1">
      <alignment readingOrder="0"/>
    </xf>
    <xf borderId="0" fillId="10" fontId="2" numFmtId="10" xfId="0" applyFont="1" applyNumberFormat="1"/>
    <xf borderId="0" fillId="4" fontId="8" numFmtId="164" xfId="0" applyFont="1" applyNumberFormat="1"/>
    <xf borderId="0" fillId="4" fontId="8" numFmtId="164" xfId="0" applyAlignment="1" applyFont="1" applyNumberFormat="1">
      <alignment horizontal="right"/>
    </xf>
    <xf borderId="0" fillId="11" fontId="2" numFmtId="0" xfId="0" applyAlignment="1" applyFill="1" applyFont="1">
      <alignment readingOrder="0"/>
    </xf>
    <xf borderId="0" fillId="11" fontId="2" numFmtId="0" xfId="0" applyAlignment="1" applyFont="1">
      <alignment horizontal="right" readingOrder="0"/>
    </xf>
    <xf borderId="0" fillId="11" fontId="8" numFmtId="164" xfId="0" applyAlignment="1" applyFont="1" applyNumberFormat="1">
      <alignment horizontal="right"/>
    </xf>
    <xf borderId="0" fillId="11" fontId="2" numFmtId="164" xfId="0" applyFont="1" applyNumberFormat="1"/>
    <xf borderId="1" fillId="0" fontId="2" numFmtId="0" xfId="0" applyAlignment="1" applyBorder="1" applyFont="1">
      <alignment readingOrder="0"/>
    </xf>
    <xf borderId="0" fillId="0" fontId="1" numFmtId="0" xfId="0" applyAlignment="1" applyFont="1">
      <alignment horizontal="center" readingOrder="0" textRotation="90" vertical="center"/>
    </xf>
    <xf borderId="0" fillId="0" fontId="2" numFmtId="0" xfId="0" applyFont="1"/>
    <xf borderId="0" fillId="11" fontId="2" numFmtId="0" xfId="0" applyFont="1"/>
    <xf borderId="0" fillId="0" fontId="9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8" fillId="0" fontId="4" numFmtId="0" xfId="0" applyAlignment="1" applyBorder="1" applyFont="1">
      <alignment vertical="bottom"/>
    </xf>
    <xf borderId="8" fillId="0" fontId="4" numFmtId="0" xfId="0" applyAlignment="1" applyBorder="1" applyFont="1">
      <alignment vertical="bottom"/>
    </xf>
    <xf borderId="9" fillId="2" fontId="4" numFmtId="0" xfId="0" applyAlignment="1" applyBorder="1" applyFont="1">
      <alignment horizontal="center" vertical="bottom"/>
    </xf>
    <xf borderId="8" fillId="2" fontId="4" numFmtId="0" xfId="0" applyAlignment="1" applyBorder="1" applyFont="1">
      <alignment horizontal="center" vertical="bottom"/>
    </xf>
    <xf borderId="7" fillId="0" fontId="7" numFmtId="0" xfId="0" applyBorder="1" applyFont="1"/>
    <xf borderId="8" fillId="2" fontId="4" numFmtId="0" xfId="0" applyAlignment="1" applyBorder="1" applyFont="1">
      <alignment horizontal="center" vertical="bottom"/>
    </xf>
    <xf borderId="7" fillId="2" fontId="4" numFmtId="0" xfId="0" applyAlignment="1" applyBorder="1" applyFont="1">
      <alignment horizontal="center" vertical="bottom"/>
    </xf>
    <xf borderId="0" fillId="3" fontId="4" numFmtId="0" xfId="0" applyAlignment="1" applyFont="1">
      <alignment readingOrder="0" vertical="bottom"/>
    </xf>
    <xf borderId="0" fillId="0" fontId="4" numFmtId="164" xfId="0" applyAlignment="1" applyFont="1" applyNumberFormat="1">
      <alignment horizontal="right" readingOrder="0" vertical="bottom"/>
    </xf>
    <xf borderId="0" fillId="0" fontId="4" numFmtId="0" xfId="0" applyAlignment="1" applyFont="1">
      <alignment horizontal="right" vertical="bottom"/>
    </xf>
    <xf borderId="0" fillId="0" fontId="4" numFmtId="164" xfId="0" applyAlignment="1" applyFont="1" applyNumberFormat="1">
      <alignment horizontal="right" vertical="bottom"/>
    </xf>
    <xf borderId="0" fillId="3" fontId="4" numFmtId="0" xfId="0" applyAlignment="1" applyFont="1">
      <alignment vertical="bottom"/>
    </xf>
    <xf borderId="0" fillId="0" fontId="4" numFmtId="164" xfId="0" applyAlignment="1" applyFont="1" applyNumberFormat="1">
      <alignment vertical="bottom"/>
    </xf>
    <xf borderId="10" fillId="0" fontId="4" numFmtId="0" xfId="0" applyAlignment="1" applyBorder="1" applyFont="1">
      <alignment vertical="bottom"/>
    </xf>
    <xf borderId="0" fillId="6" fontId="4" numFmtId="0" xfId="0" applyAlignment="1" applyFont="1">
      <alignment vertical="bottom"/>
    </xf>
    <xf borderId="10" fillId="6" fontId="4" numFmtId="164" xfId="0" applyAlignment="1" applyBorder="1" applyFont="1" applyNumberFormat="1">
      <alignment horizontal="right" vertical="bottom"/>
    </xf>
    <xf borderId="7" fillId="0" fontId="4" numFmtId="0" xfId="0" applyAlignment="1" applyBorder="1" applyFont="1">
      <alignment horizontal="center" vertical="bottom"/>
    </xf>
    <xf borderId="8" fillId="6" fontId="4" numFmtId="0" xfId="0" applyAlignment="1" applyBorder="1" applyFont="1">
      <alignment vertical="bottom"/>
    </xf>
    <xf borderId="7" fillId="6" fontId="4" numFmtId="164" xfId="0" applyAlignment="1" applyBorder="1" applyFont="1" applyNumberFormat="1">
      <alignment horizontal="right" vertical="bottom"/>
    </xf>
    <xf borderId="0" fillId="10" fontId="4" numFmtId="0" xfId="0" applyAlignment="1" applyFont="1">
      <alignment horizontal="right" readingOrder="0" vertical="bottom"/>
    </xf>
    <xf borderId="0" fillId="0" fontId="4" numFmtId="10" xfId="0" applyAlignment="1" applyFont="1" applyNumberFormat="1">
      <alignment horizontal="right" vertical="bottom"/>
    </xf>
    <xf borderId="11" fillId="6" fontId="2" numFmtId="164" xfId="0" applyBorder="1" applyFont="1" applyNumberFormat="1"/>
    <xf borderId="8" fillId="6" fontId="2" numFmtId="164" xfId="0" applyBorder="1" applyFont="1" applyNumberFormat="1"/>
    <xf borderId="0" fillId="4" fontId="3" numFmtId="0" xfId="0" applyAlignment="1" applyFont="1">
      <alignment horizontal="right" readingOrder="0"/>
    </xf>
    <xf quotePrefix="1"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9" fontId="2" numFmtId="0" xfId="0" applyAlignment="1" applyFont="1">
      <alignment horizontal="right"/>
    </xf>
    <xf borderId="0" fillId="0" fontId="6" numFmtId="0" xfId="0" applyFont="1"/>
    <xf borderId="0" fillId="0" fontId="10" numFmtId="0" xfId="0" applyAlignment="1" applyFont="1">
      <alignment readingOrder="0"/>
    </xf>
    <xf borderId="0" fillId="0" fontId="1" numFmtId="0" xfId="0" applyFont="1"/>
    <xf borderId="0" fillId="9" fontId="6" numFmtId="0" xfId="0" applyAlignment="1" applyFont="1">
      <alignment horizontal="left" readingOrder="0"/>
    </xf>
    <xf borderId="0" fillId="9" fontId="6" numFmtId="0" xfId="0" applyFont="1"/>
    <xf borderId="0" fillId="9" fontId="1" numFmtId="0" xfId="0" applyFont="1"/>
    <xf borderId="0" fillId="9" fontId="2" numFmtId="164" xfId="0" applyFont="1" applyNumberFormat="1"/>
    <xf borderId="1" fillId="0" fontId="2" numFmtId="164" xfId="0" applyAlignment="1" applyBorder="1" applyFont="1" applyNumberFormat="1">
      <alignment horizontal="center" readingOrder="0"/>
    </xf>
    <xf borderId="0" fillId="10" fontId="2" numFmtId="164" xfId="0" applyAlignment="1" applyFont="1" applyNumberFormat="1">
      <alignment readingOrder="0"/>
    </xf>
    <xf borderId="0" fillId="4" fontId="11" numFmtId="0" xfId="0" applyAlignment="1" applyFont="1">
      <alignment readingOrder="0"/>
    </xf>
    <xf borderId="0" fillId="11" fontId="2" numFmtId="164" xfId="0" applyAlignment="1" applyFont="1" applyNumberFormat="1">
      <alignment readingOrder="0"/>
    </xf>
    <xf borderId="0" fillId="11" fontId="2" numFmtId="10" xfId="0" applyFont="1" applyNumberForma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3" fontId="2" numFmtId="0" xfId="0" applyAlignment="1" applyFont="1">
      <alignment horizontal="left" readingOrder="0"/>
    </xf>
    <xf borderId="7" fillId="6" fontId="2" numFmtId="0" xfId="0" applyBorder="1" applyFont="1"/>
    <xf quotePrefix="1"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58.0"/>
    <col customWidth="1" hidden="1" min="2" max="2" width="17.0"/>
    <col customWidth="1" min="3" max="3" width="16.63"/>
    <col customWidth="1" hidden="1" min="4" max="4" width="13.38"/>
    <col customWidth="1" hidden="1" min="5" max="5" width="13.63"/>
    <col customWidth="1" min="6" max="6" width="17.38"/>
    <col customWidth="1" min="9" max="9" width="17.0"/>
    <col customWidth="1" min="10" max="10" width="13.75"/>
    <col customWidth="1" min="11" max="11" width="17.63"/>
    <col customWidth="1" min="12" max="12" width="15.88"/>
    <col customWidth="1" min="13" max="13" width="14.0"/>
    <col customWidth="1" min="14" max="14" width="13.88"/>
    <col customWidth="1" min="15" max="15" width="13.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4" t="s">
        <v>8</v>
      </c>
      <c r="J1" s="5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6" t="s">
        <v>15</v>
      </c>
      <c r="Q1" s="6" t="s">
        <v>16</v>
      </c>
      <c r="R1" s="6" t="s">
        <v>17</v>
      </c>
    </row>
    <row r="2">
      <c r="A2" s="7" t="s">
        <v>18</v>
      </c>
      <c r="C2" s="8"/>
      <c r="D2" s="9"/>
      <c r="E2" s="9"/>
      <c r="F2" s="9"/>
      <c r="G2" s="9"/>
      <c r="H2" s="10"/>
      <c r="I2" s="11"/>
      <c r="J2" s="12"/>
      <c r="K2" s="8"/>
      <c r="L2" s="8"/>
      <c r="M2" s="13"/>
      <c r="N2" s="14"/>
      <c r="O2" s="14"/>
    </row>
    <row r="3">
      <c r="A3" s="15" t="s">
        <v>19</v>
      </c>
      <c r="D3" s="16"/>
      <c r="E3" s="16"/>
      <c r="F3" s="16"/>
      <c r="G3" s="16"/>
      <c r="H3" s="17"/>
      <c r="I3" s="18"/>
      <c r="J3" s="19"/>
      <c r="M3" s="14"/>
      <c r="N3" s="14"/>
      <c r="O3" s="14"/>
    </row>
    <row r="4">
      <c r="A4" s="6" t="s">
        <v>20</v>
      </c>
      <c r="B4" s="20">
        <f t="shared" ref="B4:B17" si="1">((E4-D4)/D4)</f>
        <v>0</v>
      </c>
      <c r="C4" s="20">
        <f t="shared" ref="C4:C12" si="2">((G4-F4)/F4)</f>
        <v>0.1647058824</v>
      </c>
      <c r="D4" s="21">
        <v>8.5</v>
      </c>
      <c r="E4" s="21">
        <v>8.5</v>
      </c>
      <c r="F4" s="21">
        <v>8.5</v>
      </c>
      <c r="G4" s="21">
        <v>9.9</v>
      </c>
      <c r="H4" s="21" t="s">
        <v>21</v>
      </c>
      <c r="I4" s="22" t="s">
        <v>22</v>
      </c>
      <c r="J4" s="23">
        <v>16.0</v>
      </c>
      <c r="K4" s="21">
        <f t="shared" ref="K4:K66" si="3">G4/J4</f>
        <v>0.61875</v>
      </c>
      <c r="L4" s="24">
        <f t="shared" ref="L4:L66" si="4">K4*8</f>
        <v>4.95</v>
      </c>
      <c r="M4" s="14">
        <f t="shared" ref="M4:M66" si="5">L4/16</f>
        <v>0.309375</v>
      </c>
      <c r="N4" s="14">
        <f t="shared" ref="N4:N66" si="6">M4/3</f>
        <v>0.103125</v>
      </c>
      <c r="O4" s="14">
        <f t="shared" ref="O4:O66" si="7">K4/28.3495</f>
        <v>0.02182578176</v>
      </c>
    </row>
    <row r="5">
      <c r="A5" s="6" t="s">
        <v>23</v>
      </c>
      <c r="B5" s="20">
        <f t="shared" si="1"/>
        <v>0</v>
      </c>
      <c r="C5" s="20">
        <f t="shared" si="2"/>
        <v>0.1647058824</v>
      </c>
      <c r="D5" s="21">
        <v>8.5</v>
      </c>
      <c r="E5" s="21">
        <v>8.5</v>
      </c>
      <c r="F5" s="21">
        <v>8.5</v>
      </c>
      <c r="G5" s="21">
        <v>9.9</v>
      </c>
      <c r="H5" s="21" t="s">
        <v>21</v>
      </c>
      <c r="I5" s="22" t="s">
        <v>22</v>
      </c>
      <c r="J5" s="23">
        <v>16.0</v>
      </c>
      <c r="K5" s="21">
        <f t="shared" si="3"/>
        <v>0.61875</v>
      </c>
      <c r="L5" s="24">
        <f t="shared" si="4"/>
        <v>4.95</v>
      </c>
      <c r="M5" s="14">
        <f t="shared" si="5"/>
        <v>0.309375</v>
      </c>
      <c r="N5" s="14">
        <f t="shared" si="6"/>
        <v>0.103125</v>
      </c>
      <c r="O5" s="14">
        <f t="shared" si="7"/>
        <v>0.02182578176</v>
      </c>
    </row>
    <row r="6">
      <c r="A6" s="6" t="s">
        <v>24</v>
      </c>
      <c r="B6" s="20">
        <f t="shared" si="1"/>
        <v>0</v>
      </c>
      <c r="C6" s="20">
        <f t="shared" si="2"/>
        <v>0.1647058824</v>
      </c>
      <c r="D6" s="21">
        <v>8.5</v>
      </c>
      <c r="E6" s="21">
        <v>8.5</v>
      </c>
      <c r="F6" s="21">
        <v>8.5</v>
      </c>
      <c r="G6" s="21">
        <v>9.9</v>
      </c>
      <c r="H6" s="21" t="s">
        <v>21</v>
      </c>
      <c r="I6" s="22" t="s">
        <v>22</v>
      </c>
      <c r="J6" s="23">
        <v>16.0</v>
      </c>
      <c r="K6" s="21">
        <f t="shared" si="3"/>
        <v>0.61875</v>
      </c>
      <c r="L6" s="24">
        <f t="shared" si="4"/>
        <v>4.95</v>
      </c>
      <c r="M6" s="14">
        <f t="shared" si="5"/>
        <v>0.309375</v>
      </c>
      <c r="N6" s="14">
        <f t="shared" si="6"/>
        <v>0.103125</v>
      </c>
      <c r="O6" s="14">
        <f t="shared" si="7"/>
        <v>0.02182578176</v>
      </c>
    </row>
    <row r="7">
      <c r="A7" s="6" t="s">
        <v>25</v>
      </c>
      <c r="B7" s="20">
        <f t="shared" si="1"/>
        <v>0</v>
      </c>
      <c r="C7" s="20">
        <f t="shared" si="2"/>
        <v>0</v>
      </c>
      <c r="D7" s="21">
        <v>70.0</v>
      </c>
      <c r="E7" s="21">
        <v>70.0</v>
      </c>
      <c r="F7" s="21">
        <v>70.0</v>
      </c>
      <c r="G7" s="21">
        <v>70.0</v>
      </c>
      <c r="H7" s="21" t="s">
        <v>21</v>
      </c>
      <c r="I7" s="22" t="s">
        <v>26</v>
      </c>
      <c r="J7" s="23">
        <v>384.0</v>
      </c>
      <c r="K7" s="21">
        <f t="shared" si="3"/>
        <v>0.1822916667</v>
      </c>
      <c r="L7" s="24">
        <f t="shared" si="4"/>
        <v>1.458333333</v>
      </c>
      <c r="M7" s="14">
        <f t="shared" si="5"/>
        <v>0.09114583333</v>
      </c>
      <c r="N7" s="14">
        <f t="shared" si="6"/>
        <v>0.03038194444</v>
      </c>
      <c r="O7" s="14">
        <f t="shared" si="7"/>
        <v>0.006430154559</v>
      </c>
    </row>
    <row r="8">
      <c r="A8" s="25" t="s">
        <v>27</v>
      </c>
      <c r="B8" s="20">
        <f t="shared" si="1"/>
        <v>0.04011461318</v>
      </c>
      <c r="C8" s="20">
        <f t="shared" si="2"/>
        <v>-0.08402203857</v>
      </c>
      <c r="D8" s="21">
        <v>6.98</v>
      </c>
      <c r="E8" s="21">
        <v>7.26</v>
      </c>
      <c r="F8" s="21">
        <v>7.26</v>
      </c>
      <c r="G8" s="21">
        <v>6.65</v>
      </c>
      <c r="H8" s="21" t="s">
        <v>28</v>
      </c>
      <c r="I8" s="22" t="s">
        <v>29</v>
      </c>
      <c r="J8" s="23">
        <v>64.0</v>
      </c>
      <c r="K8" s="21">
        <f t="shared" si="3"/>
        <v>0.10390625</v>
      </c>
      <c r="L8" s="24">
        <f t="shared" si="4"/>
        <v>0.83125</v>
      </c>
      <c r="M8" s="14">
        <f t="shared" si="5"/>
        <v>0.051953125</v>
      </c>
      <c r="N8" s="14">
        <f t="shared" si="6"/>
        <v>0.01731770833</v>
      </c>
      <c r="O8" s="14">
        <f t="shared" si="7"/>
        <v>0.003665188099</v>
      </c>
    </row>
    <row r="9">
      <c r="A9" s="25" t="s">
        <v>30</v>
      </c>
      <c r="B9" s="20">
        <f t="shared" si="1"/>
        <v>0</v>
      </c>
      <c r="C9" s="20">
        <f t="shared" si="2"/>
        <v>0.05780346821</v>
      </c>
      <c r="D9" s="21">
        <v>10.38</v>
      </c>
      <c r="E9" s="21">
        <v>10.38</v>
      </c>
      <c r="F9" s="21">
        <v>10.38</v>
      </c>
      <c r="G9" s="21">
        <v>10.98</v>
      </c>
      <c r="H9" s="21" t="s">
        <v>28</v>
      </c>
      <c r="I9" s="22" t="s">
        <v>31</v>
      </c>
      <c r="J9" s="23">
        <v>80.0</v>
      </c>
      <c r="K9" s="21">
        <f t="shared" si="3"/>
        <v>0.13725</v>
      </c>
      <c r="L9" s="24">
        <f t="shared" si="4"/>
        <v>1.098</v>
      </c>
      <c r="M9" s="14">
        <f t="shared" si="5"/>
        <v>0.068625</v>
      </c>
      <c r="N9" s="14">
        <f t="shared" si="6"/>
        <v>0.022875</v>
      </c>
      <c r="O9" s="14">
        <f t="shared" si="7"/>
        <v>0.004841355227</v>
      </c>
    </row>
    <row r="10">
      <c r="A10" s="25" t="s">
        <v>32</v>
      </c>
      <c r="B10" s="20">
        <f t="shared" si="1"/>
        <v>0</v>
      </c>
      <c r="C10" s="20">
        <f t="shared" si="2"/>
        <v>-0.2045152722</v>
      </c>
      <c r="D10" s="21">
        <v>15.06</v>
      </c>
      <c r="E10" s="21">
        <v>15.06</v>
      </c>
      <c r="F10" s="21">
        <v>15.06</v>
      </c>
      <c r="G10" s="21">
        <v>11.98</v>
      </c>
      <c r="H10" s="21" t="s">
        <v>28</v>
      </c>
      <c r="I10" s="22" t="s">
        <v>31</v>
      </c>
      <c r="J10" s="23">
        <v>80.0</v>
      </c>
      <c r="K10" s="21">
        <f t="shared" si="3"/>
        <v>0.14975</v>
      </c>
      <c r="L10" s="24">
        <f t="shared" si="4"/>
        <v>1.198</v>
      </c>
      <c r="M10" s="14">
        <f t="shared" si="5"/>
        <v>0.074875</v>
      </c>
      <c r="N10" s="14">
        <f t="shared" si="6"/>
        <v>0.02495833333</v>
      </c>
      <c r="O10" s="14">
        <f t="shared" si="7"/>
        <v>0.005282280111</v>
      </c>
    </row>
    <row r="11">
      <c r="A11" s="25" t="s">
        <v>33</v>
      </c>
      <c r="B11" s="20">
        <f t="shared" si="1"/>
        <v>0.02649006623</v>
      </c>
      <c r="C11" s="20">
        <f t="shared" si="2"/>
        <v>0.05161290323</v>
      </c>
      <c r="D11" s="21">
        <v>3.02</v>
      </c>
      <c r="E11" s="21">
        <v>3.1</v>
      </c>
      <c r="F11" s="21">
        <v>3.1</v>
      </c>
      <c r="G11" s="21">
        <v>3.26</v>
      </c>
      <c r="H11" s="21" t="s">
        <v>28</v>
      </c>
      <c r="I11" s="22" t="s">
        <v>34</v>
      </c>
      <c r="J11" s="23">
        <v>16.0</v>
      </c>
      <c r="K11" s="21">
        <f t="shared" si="3"/>
        <v>0.20375</v>
      </c>
      <c r="L11" s="24">
        <f t="shared" si="4"/>
        <v>1.63</v>
      </c>
      <c r="M11" s="14">
        <f t="shared" si="5"/>
        <v>0.101875</v>
      </c>
      <c r="N11" s="14">
        <f t="shared" si="6"/>
        <v>0.03395833333</v>
      </c>
      <c r="O11" s="14">
        <f t="shared" si="7"/>
        <v>0.00718707561</v>
      </c>
    </row>
    <row r="12">
      <c r="A12" s="6" t="s">
        <v>35</v>
      </c>
      <c r="B12" s="20">
        <f t="shared" si="1"/>
        <v>0.1570996979</v>
      </c>
      <c r="C12" s="20">
        <f t="shared" si="2"/>
        <v>0.01305483029</v>
      </c>
      <c r="D12" s="21">
        <v>3.31</v>
      </c>
      <c r="E12" s="21">
        <v>3.83</v>
      </c>
      <c r="F12" s="21">
        <v>3.83</v>
      </c>
      <c r="G12" s="21">
        <v>3.88</v>
      </c>
      <c r="H12" s="21" t="s">
        <v>28</v>
      </c>
      <c r="I12" s="22" t="s">
        <v>36</v>
      </c>
      <c r="J12" s="23">
        <v>15.5</v>
      </c>
      <c r="K12" s="21">
        <f t="shared" si="3"/>
        <v>0.2503225806</v>
      </c>
      <c r="L12" s="24">
        <f t="shared" si="4"/>
        <v>2.002580645</v>
      </c>
      <c r="M12" s="14">
        <f t="shared" si="5"/>
        <v>0.1251612903</v>
      </c>
      <c r="N12" s="14">
        <f t="shared" si="6"/>
        <v>0.04172043011</v>
      </c>
      <c r="O12" s="14">
        <f t="shared" si="7"/>
        <v>0.008829876387</v>
      </c>
    </row>
    <row r="13">
      <c r="A13" s="26" t="s">
        <v>37</v>
      </c>
      <c r="B13" s="27">
        <f t="shared" si="1"/>
        <v>0.1117824773</v>
      </c>
      <c r="C13" s="27"/>
      <c r="D13" s="28">
        <v>3.31</v>
      </c>
      <c r="E13" s="28">
        <v>3.68</v>
      </c>
      <c r="F13" s="28">
        <v>2.96</v>
      </c>
      <c r="G13" s="28">
        <v>3.17</v>
      </c>
      <c r="H13" s="28" t="s">
        <v>28</v>
      </c>
      <c r="I13" s="29" t="s">
        <v>34</v>
      </c>
      <c r="J13" s="30">
        <v>15.5</v>
      </c>
      <c r="K13" s="28">
        <f t="shared" si="3"/>
        <v>0.204516129</v>
      </c>
      <c r="L13" s="31">
        <f t="shared" si="4"/>
        <v>1.636129032</v>
      </c>
      <c r="M13" s="32">
        <f t="shared" si="5"/>
        <v>0.1022580645</v>
      </c>
      <c r="N13" s="32">
        <f t="shared" si="6"/>
        <v>0.03408602151</v>
      </c>
      <c r="O13" s="32">
        <f t="shared" si="7"/>
        <v>0.007214100038</v>
      </c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</row>
    <row r="14">
      <c r="A14" s="6" t="s">
        <v>38</v>
      </c>
      <c r="B14" s="20">
        <f t="shared" si="1"/>
        <v>-0.01485148515</v>
      </c>
      <c r="C14" s="20">
        <f t="shared" ref="C14:C17" si="8">((G14-F14)/F14)</f>
        <v>0.06532663317</v>
      </c>
      <c r="D14" s="21">
        <v>4.04</v>
      </c>
      <c r="E14" s="21">
        <v>3.98</v>
      </c>
      <c r="F14" s="21">
        <v>3.98</v>
      </c>
      <c r="G14" s="21">
        <v>4.24</v>
      </c>
      <c r="H14" s="21" t="s">
        <v>28</v>
      </c>
      <c r="I14" s="22" t="s">
        <v>39</v>
      </c>
      <c r="J14" s="23">
        <v>32.0</v>
      </c>
      <c r="K14" s="21">
        <f t="shared" si="3"/>
        <v>0.1325</v>
      </c>
      <c r="L14" s="24">
        <f t="shared" si="4"/>
        <v>1.06</v>
      </c>
      <c r="M14" s="14">
        <f t="shared" si="5"/>
        <v>0.06625</v>
      </c>
      <c r="N14" s="14">
        <f t="shared" si="6"/>
        <v>0.02208333333</v>
      </c>
      <c r="O14" s="14">
        <f t="shared" si="7"/>
        <v>0.004673803771</v>
      </c>
    </row>
    <row r="15">
      <c r="A15" s="34" t="s">
        <v>40</v>
      </c>
      <c r="B15" s="20">
        <f t="shared" si="1"/>
        <v>0.04830917874</v>
      </c>
      <c r="C15" s="20">
        <f t="shared" si="8"/>
        <v>-0.03917050691</v>
      </c>
      <c r="D15" s="21">
        <v>4.14</v>
      </c>
      <c r="E15" s="21">
        <v>4.34</v>
      </c>
      <c r="F15" s="21">
        <v>4.34</v>
      </c>
      <c r="G15" s="21">
        <v>4.17</v>
      </c>
      <c r="H15" s="21" t="s">
        <v>28</v>
      </c>
      <c r="I15" s="22" t="s">
        <v>41</v>
      </c>
      <c r="J15" s="23">
        <v>48.0</v>
      </c>
      <c r="K15" s="21">
        <f t="shared" si="3"/>
        <v>0.086875</v>
      </c>
      <c r="L15" s="24">
        <f t="shared" si="4"/>
        <v>0.695</v>
      </c>
      <c r="M15" s="14">
        <f t="shared" si="5"/>
        <v>0.0434375</v>
      </c>
      <c r="N15" s="14">
        <f t="shared" si="6"/>
        <v>0.01447916667</v>
      </c>
      <c r="O15" s="14">
        <f t="shared" si="7"/>
        <v>0.003064427944</v>
      </c>
    </row>
    <row r="16">
      <c r="A16" s="6" t="s">
        <v>42</v>
      </c>
      <c r="B16" s="20">
        <f t="shared" si="1"/>
        <v>-0.1496598639</v>
      </c>
      <c r="C16" s="20">
        <f t="shared" si="8"/>
        <v>0.04</v>
      </c>
      <c r="D16" s="21">
        <v>1.47</v>
      </c>
      <c r="E16" s="21">
        <v>1.25</v>
      </c>
      <c r="F16" s="21">
        <v>1.25</v>
      </c>
      <c r="G16" s="21">
        <v>1.3</v>
      </c>
      <c r="H16" s="21" t="s">
        <v>28</v>
      </c>
      <c r="I16" s="22" t="s">
        <v>43</v>
      </c>
      <c r="J16" s="23">
        <v>41.28</v>
      </c>
      <c r="K16" s="21">
        <f t="shared" si="3"/>
        <v>0.03149224806</v>
      </c>
      <c r="L16" s="24">
        <f t="shared" si="4"/>
        <v>0.2519379845</v>
      </c>
      <c r="M16" s="14">
        <f t="shared" si="5"/>
        <v>0.01574612403</v>
      </c>
      <c r="N16" s="14">
        <f t="shared" si="6"/>
        <v>0.00524870801</v>
      </c>
      <c r="O16" s="14">
        <f t="shared" si="7"/>
        <v>0.001110857266</v>
      </c>
    </row>
    <row r="17">
      <c r="A17" s="34" t="s">
        <v>44</v>
      </c>
      <c r="B17" s="20">
        <f t="shared" si="1"/>
        <v>0</v>
      </c>
      <c r="C17" s="20">
        <f t="shared" si="8"/>
        <v>-0.005714285714</v>
      </c>
      <c r="D17" s="21">
        <v>1.75</v>
      </c>
      <c r="E17" s="21">
        <v>1.75</v>
      </c>
      <c r="F17" s="21">
        <v>1.75</v>
      </c>
      <c r="G17" s="21">
        <v>1.74</v>
      </c>
      <c r="H17" s="21" t="s">
        <v>28</v>
      </c>
      <c r="I17" s="22" t="s">
        <v>45</v>
      </c>
      <c r="J17" s="23">
        <v>9.0</v>
      </c>
      <c r="K17" s="21">
        <f t="shared" si="3"/>
        <v>0.1933333333</v>
      </c>
      <c r="L17" s="24">
        <f t="shared" si="4"/>
        <v>1.546666667</v>
      </c>
      <c r="M17" s="14">
        <f t="shared" si="5"/>
        <v>0.09666666667</v>
      </c>
      <c r="N17" s="14">
        <f t="shared" si="6"/>
        <v>0.03222222222</v>
      </c>
      <c r="O17" s="14">
        <f t="shared" si="7"/>
        <v>0.006819638206</v>
      </c>
    </row>
    <row r="18">
      <c r="A18" s="34" t="s">
        <v>46</v>
      </c>
      <c r="B18" s="20"/>
      <c r="C18" s="20"/>
      <c r="D18" s="21"/>
      <c r="E18" s="21"/>
      <c r="F18" s="21">
        <v>4.08</v>
      </c>
      <c r="G18" s="21">
        <v>4.08</v>
      </c>
      <c r="H18" s="21" t="s">
        <v>28</v>
      </c>
      <c r="I18" s="22" t="s">
        <v>47</v>
      </c>
      <c r="J18" s="23">
        <v>32.0</v>
      </c>
      <c r="K18" s="21">
        <f t="shared" si="3"/>
        <v>0.1275</v>
      </c>
      <c r="L18" s="24">
        <f t="shared" si="4"/>
        <v>1.02</v>
      </c>
      <c r="M18" s="14">
        <f t="shared" si="5"/>
        <v>0.06375</v>
      </c>
      <c r="N18" s="14">
        <f t="shared" si="6"/>
        <v>0.02125</v>
      </c>
      <c r="O18" s="14">
        <f t="shared" si="7"/>
        <v>0.004497433817</v>
      </c>
    </row>
    <row r="19">
      <c r="A19" s="35" t="s">
        <v>48</v>
      </c>
      <c r="B19" s="27">
        <f t="shared" ref="B19:B29" si="9">((E19-D19)/D19)</f>
        <v>0.2129032258</v>
      </c>
      <c r="C19" s="27"/>
      <c r="D19" s="28">
        <v>3.1</v>
      </c>
      <c r="E19" s="28">
        <v>3.76</v>
      </c>
      <c r="F19" s="28">
        <v>3.76</v>
      </c>
      <c r="G19" s="28"/>
      <c r="H19" s="28" t="s">
        <v>28</v>
      </c>
      <c r="I19" s="29" t="s">
        <v>49</v>
      </c>
      <c r="J19" s="30">
        <v>10.0</v>
      </c>
      <c r="K19" s="28">
        <f t="shared" si="3"/>
        <v>0</v>
      </c>
      <c r="L19" s="31">
        <f t="shared" si="4"/>
        <v>0</v>
      </c>
      <c r="M19" s="32">
        <f t="shared" si="5"/>
        <v>0</v>
      </c>
      <c r="N19" s="32">
        <f t="shared" si="6"/>
        <v>0</v>
      </c>
      <c r="O19" s="32">
        <f t="shared" si="7"/>
        <v>0</v>
      </c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</row>
    <row r="20">
      <c r="A20" s="6" t="s">
        <v>50</v>
      </c>
      <c r="B20" s="20">
        <f t="shared" si="9"/>
        <v>0.05882352941</v>
      </c>
      <c r="C20" s="20">
        <f t="shared" ref="C20:C21" si="10">((G20-F20)/F20)</f>
        <v>-0.038647343</v>
      </c>
      <c r="D20" s="21">
        <v>3.91</v>
      </c>
      <c r="E20" s="21">
        <v>4.14</v>
      </c>
      <c r="F20" s="21">
        <v>4.14</v>
      </c>
      <c r="G20" s="21">
        <v>3.98</v>
      </c>
      <c r="H20" s="21" t="s">
        <v>28</v>
      </c>
      <c r="I20" s="22" t="s">
        <v>51</v>
      </c>
      <c r="J20" s="23">
        <v>128.0</v>
      </c>
      <c r="K20" s="21">
        <f t="shared" si="3"/>
        <v>0.03109375</v>
      </c>
      <c r="L20" s="24">
        <f t="shared" si="4"/>
        <v>0.24875</v>
      </c>
      <c r="M20" s="14">
        <f t="shared" si="5"/>
        <v>0.015546875</v>
      </c>
      <c r="N20" s="14">
        <f t="shared" si="6"/>
        <v>0.005182291667</v>
      </c>
      <c r="O20" s="14">
        <f t="shared" si="7"/>
        <v>0.001096800649</v>
      </c>
    </row>
    <row r="21">
      <c r="A21" s="6" t="s">
        <v>52</v>
      </c>
      <c r="B21" s="20">
        <f t="shared" si="9"/>
        <v>0.05882352941</v>
      </c>
      <c r="C21" s="20">
        <f t="shared" si="10"/>
        <v>-0.038647343</v>
      </c>
      <c r="D21" s="21">
        <v>3.91</v>
      </c>
      <c r="E21" s="21">
        <v>4.14</v>
      </c>
      <c r="F21" s="21">
        <v>4.14</v>
      </c>
      <c r="G21" s="21">
        <v>3.98</v>
      </c>
      <c r="H21" s="21" t="s">
        <v>28</v>
      </c>
      <c r="I21" s="22" t="s">
        <v>51</v>
      </c>
      <c r="J21" s="23">
        <v>128.0</v>
      </c>
      <c r="K21" s="21">
        <f t="shared" si="3"/>
        <v>0.03109375</v>
      </c>
      <c r="L21" s="24">
        <f t="shared" si="4"/>
        <v>0.24875</v>
      </c>
      <c r="M21" s="14">
        <f t="shared" si="5"/>
        <v>0.015546875</v>
      </c>
      <c r="N21" s="14">
        <f t="shared" si="6"/>
        <v>0.005182291667</v>
      </c>
      <c r="O21" s="14">
        <f t="shared" si="7"/>
        <v>0.001096800649</v>
      </c>
    </row>
    <row r="22">
      <c r="A22" s="26" t="s">
        <v>53</v>
      </c>
      <c r="B22" s="27">
        <f t="shared" si="9"/>
        <v>-0.1524926686</v>
      </c>
      <c r="C22" s="36"/>
      <c r="D22" s="28">
        <v>3.41</v>
      </c>
      <c r="E22" s="28">
        <v>2.89</v>
      </c>
      <c r="F22" s="28">
        <v>2.89</v>
      </c>
      <c r="G22" s="31"/>
      <c r="H22" s="28" t="s">
        <v>28</v>
      </c>
      <c r="I22" s="29" t="s">
        <v>54</v>
      </c>
      <c r="J22" s="30">
        <v>64.0</v>
      </c>
      <c r="K22" s="28">
        <f t="shared" si="3"/>
        <v>0</v>
      </c>
      <c r="L22" s="31">
        <f t="shared" si="4"/>
        <v>0</v>
      </c>
      <c r="M22" s="32">
        <f t="shared" si="5"/>
        <v>0</v>
      </c>
      <c r="N22" s="32">
        <f t="shared" si="6"/>
        <v>0</v>
      </c>
      <c r="O22" s="32">
        <f t="shared" si="7"/>
        <v>0</v>
      </c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</row>
    <row r="23">
      <c r="A23" s="6" t="s">
        <v>55</v>
      </c>
      <c r="B23" s="20">
        <f t="shared" si="9"/>
        <v>-0.05376344086</v>
      </c>
      <c r="C23" s="20">
        <f t="shared" ref="C23:C27" si="11">((G23-F23)/F23)</f>
        <v>-0.04829545455</v>
      </c>
      <c r="D23" s="21">
        <v>3.72</v>
      </c>
      <c r="E23" s="21">
        <v>3.52</v>
      </c>
      <c r="F23" s="21">
        <v>3.52</v>
      </c>
      <c r="G23" s="21">
        <v>3.35</v>
      </c>
      <c r="H23" s="21" t="s">
        <v>28</v>
      </c>
      <c r="I23" s="22" t="s">
        <v>29</v>
      </c>
      <c r="J23" s="23">
        <v>64.0</v>
      </c>
      <c r="K23" s="21">
        <f t="shared" si="3"/>
        <v>0.05234375</v>
      </c>
      <c r="L23" s="24">
        <f t="shared" si="4"/>
        <v>0.41875</v>
      </c>
      <c r="M23" s="14">
        <f t="shared" si="5"/>
        <v>0.026171875</v>
      </c>
      <c r="N23" s="14">
        <f t="shared" si="6"/>
        <v>0.008723958333</v>
      </c>
      <c r="O23" s="14">
        <f t="shared" si="7"/>
        <v>0.001846372952</v>
      </c>
    </row>
    <row r="24">
      <c r="A24" s="6" t="s">
        <v>56</v>
      </c>
      <c r="B24" s="20">
        <f t="shared" si="9"/>
        <v>0</v>
      </c>
      <c r="C24" s="20">
        <f t="shared" si="11"/>
        <v>-0.0396039604</v>
      </c>
      <c r="D24" s="21">
        <v>4.04</v>
      </c>
      <c r="E24" s="21">
        <v>4.04</v>
      </c>
      <c r="F24" s="21">
        <v>4.04</v>
      </c>
      <c r="G24" s="21">
        <v>3.88</v>
      </c>
      <c r="H24" s="21" t="s">
        <v>28</v>
      </c>
      <c r="I24" s="22" t="s">
        <v>29</v>
      </c>
      <c r="J24" s="23">
        <v>64.0</v>
      </c>
      <c r="K24" s="21">
        <f t="shared" si="3"/>
        <v>0.060625</v>
      </c>
      <c r="L24" s="24">
        <f t="shared" si="4"/>
        <v>0.485</v>
      </c>
      <c r="M24" s="14">
        <f t="shared" si="5"/>
        <v>0.0303125</v>
      </c>
      <c r="N24" s="14">
        <f t="shared" si="6"/>
        <v>0.01010416667</v>
      </c>
      <c r="O24" s="14">
        <f t="shared" si="7"/>
        <v>0.002138485688</v>
      </c>
    </row>
    <row r="25">
      <c r="A25" s="34" t="s">
        <v>57</v>
      </c>
      <c r="B25" s="20">
        <f t="shared" si="9"/>
        <v>0.158110883</v>
      </c>
      <c r="C25" s="20">
        <f t="shared" si="11"/>
        <v>0</v>
      </c>
      <c r="D25" s="21">
        <v>4.87</v>
      </c>
      <c r="E25" s="21">
        <v>5.64</v>
      </c>
      <c r="F25" s="21">
        <v>5.64</v>
      </c>
      <c r="G25" s="21">
        <v>5.64</v>
      </c>
      <c r="H25" s="21" t="s">
        <v>28</v>
      </c>
      <c r="I25" s="22" t="s">
        <v>29</v>
      </c>
      <c r="J25" s="23">
        <v>64.0</v>
      </c>
      <c r="K25" s="21">
        <f t="shared" si="3"/>
        <v>0.088125</v>
      </c>
      <c r="L25" s="24">
        <f t="shared" si="4"/>
        <v>0.705</v>
      </c>
      <c r="M25" s="14">
        <f t="shared" si="5"/>
        <v>0.0440625</v>
      </c>
      <c r="N25" s="14">
        <f t="shared" si="6"/>
        <v>0.0146875</v>
      </c>
      <c r="O25" s="14">
        <f t="shared" si="7"/>
        <v>0.003108520432</v>
      </c>
    </row>
    <row r="26">
      <c r="A26" s="34" t="s">
        <v>58</v>
      </c>
      <c r="B26" s="20">
        <f t="shared" si="9"/>
        <v>0.138996139</v>
      </c>
      <c r="C26" s="20">
        <f t="shared" si="11"/>
        <v>-0.1033898305</v>
      </c>
      <c r="D26" s="21">
        <v>5.18</v>
      </c>
      <c r="E26" s="21">
        <v>5.9</v>
      </c>
      <c r="F26" s="21">
        <v>5.9</v>
      </c>
      <c r="G26" s="21">
        <v>5.29</v>
      </c>
      <c r="H26" s="21" t="s">
        <v>28</v>
      </c>
      <c r="I26" s="22" t="s">
        <v>39</v>
      </c>
      <c r="J26" s="23">
        <v>32.0</v>
      </c>
      <c r="K26" s="21">
        <f t="shared" si="3"/>
        <v>0.1653125</v>
      </c>
      <c r="L26" s="24">
        <f t="shared" si="4"/>
        <v>1.3225</v>
      </c>
      <c r="M26" s="14">
        <f t="shared" si="5"/>
        <v>0.08265625</v>
      </c>
      <c r="N26" s="14">
        <f t="shared" si="6"/>
        <v>0.02755208333</v>
      </c>
      <c r="O26" s="14">
        <f t="shared" si="7"/>
        <v>0.005831231591</v>
      </c>
    </row>
    <row r="27">
      <c r="A27" s="6" t="s">
        <v>59</v>
      </c>
      <c r="B27" s="20">
        <f t="shared" si="9"/>
        <v>0.003225806452</v>
      </c>
      <c r="C27" s="20">
        <f t="shared" si="11"/>
        <v>-0.038585209</v>
      </c>
      <c r="D27" s="21">
        <v>3.1</v>
      </c>
      <c r="E27" s="21">
        <v>3.11</v>
      </c>
      <c r="F27" s="21">
        <v>3.11</v>
      </c>
      <c r="G27" s="21">
        <v>2.99</v>
      </c>
      <c r="H27" s="21" t="s">
        <v>28</v>
      </c>
      <c r="I27" s="22" t="s">
        <v>60</v>
      </c>
      <c r="J27" s="23">
        <v>37.0</v>
      </c>
      <c r="K27" s="21">
        <f t="shared" si="3"/>
        <v>0.08081081081</v>
      </c>
      <c r="L27" s="24">
        <f t="shared" si="4"/>
        <v>0.6464864865</v>
      </c>
      <c r="M27" s="14">
        <f t="shared" si="5"/>
        <v>0.04040540541</v>
      </c>
      <c r="N27" s="14">
        <f t="shared" si="6"/>
        <v>0.01346846847</v>
      </c>
      <c r="O27" s="14">
        <f t="shared" si="7"/>
        <v>0.002850519791</v>
      </c>
    </row>
    <row r="28">
      <c r="A28" s="26" t="s">
        <v>61</v>
      </c>
      <c r="B28" s="27">
        <f t="shared" si="9"/>
        <v>0.1761363636</v>
      </c>
      <c r="C28" s="27"/>
      <c r="D28" s="28">
        <v>3.52</v>
      </c>
      <c r="E28" s="28">
        <v>4.14</v>
      </c>
      <c r="F28" s="28">
        <v>4.14</v>
      </c>
      <c r="G28" s="31"/>
      <c r="H28" s="28" t="s">
        <v>28</v>
      </c>
      <c r="I28" s="29" t="s">
        <v>62</v>
      </c>
      <c r="J28" s="30">
        <v>36.0</v>
      </c>
      <c r="K28" s="28">
        <f t="shared" si="3"/>
        <v>0</v>
      </c>
      <c r="L28" s="31">
        <f t="shared" si="4"/>
        <v>0</v>
      </c>
      <c r="M28" s="32">
        <f t="shared" si="5"/>
        <v>0</v>
      </c>
      <c r="N28" s="32">
        <f t="shared" si="6"/>
        <v>0</v>
      </c>
      <c r="O28" s="32">
        <f t="shared" si="7"/>
        <v>0</v>
      </c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</row>
    <row r="29">
      <c r="A29" s="37" t="s">
        <v>63</v>
      </c>
      <c r="B29" s="27">
        <f t="shared" si="9"/>
        <v>0</v>
      </c>
      <c r="C29" s="27"/>
      <c r="D29" s="28">
        <v>1.92</v>
      </c>
      <c r="E29" s="28">
        <v>1.92</v>
      </c>
      <c r="F29" s="28">
        <v>1.92</v>
      </c>
      <c r="G29" s="31"/>
      <c r="H29" s="28" t="s">
        <v>28</v>
      </c>
      <c r="I29" s="29" t="s">
        <v>64</v>
      </c>
      <c r="J29" s="30">
        <v>14.0</v>
      </c>
      <c r="K29" s="28">
        <f t="shared" si="3"/>
        <v>0</v>
      </c>
      <c r="L29" s="31">
        <f t="shared" si="4"/>
        <v>0</v>
      </c>
      <c r="M29" s="32">
        <f t="shared" si="5"/>
        <v>0</v>
      </c>
      <c r="N29" s="32">
        <f t="shared" si="6"/>
        <v>0</v>
      </c>
      <c r="O29" s="32">
        <f t="shared" si="7"/>
        <v>0</v>
      </c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</row>
    <row r="30">
      <c r="A30" s="34" t="s">
        <v>65</v>
      </c>
      <c r="B30" s="20"/>
      <c r="C30" s="20">
        <f t="shared" ref="C30:C66" si="12">((G30-F30)/F30)</f>
        <v>0</v>
      </c>
      <c r="D30" s="21"/>
      <c r="E30" s="21"/>
      <c r="F30" s="21">
        <v>1.88</v>
      </c>
      <c r="G30" s="21">
        <v>1.88</v>
      </c>
      <c r="H30" s="21" t="s">
        <v>28</v>
      </c>
      <c r="I30" s="22" t="s">
        <v>36</v>
      </c>
      <c r="J30" s="38">
        <v>15.5</v>
      </c>
      <c r="K30" s="21">
        <f t="shared" si="3"/>
        <v>0.1212903226</v>
      </c>
      <c r="L30" s="24">
        <f t="shared" si="4"/>
        <v>0.9703225806</v>
      </c>
      <c r="M30" s="14">
        <f t="shared" si="5"/>
        <v>0.06064516129</v>
      </c>
      <c r="N30" s="14">
        <f t="shared" si="6"/>
        <v>0.02021505376</v>
      </c>
      <c r="O30" s="14">
        <f t="shared" si="7"/>
        <v>0.004278393713</v>
      </c>
    </row>
    <row r="31">
      <c r="A31" s="34" t="s">
        <v>66</v>
      </c>
      <c r="B31" s="20">
        <f t="shared" ref="B31:B66" si="13">((E31-D31)/D31)</f>
        <v>0.06989247312</v>
      </c>
      <c r="C31" s="20">
        <f t="shared" si="12"/>
        <v>0</v>
      </c>
      <c r="D31" s="21">
        <v>14.88</v>
      </c>
      <c r="E31" s="21">
        <v>15.92</v>
      </c>
      <c r="F31" s="21">
        <v>15.92</v>
      </c>
      <c r="G31" s="21">
        <v>15.92</v>
      </c>
      <c r="H31" s="21" t="s">
        <v>67</v>
      </c>
      <c r="I31" s="22" t="s">
        <v>68</v>
      </c>
      <c r="J31" s="23">
        <v>32.0</v>
      </c>
      <c r="K31" s="21">
        <f t="shared" si="3"/>
        <v>0.4975</v>
      </c>
      <c r="L31" s="24">
        <f t="shared" si="4"/>
        <v>3.98</v>
      </c>
      <c r="M31" s="14">
        <f t="shared" si="5"/>
        <v>0.24875</v>
      </c>
      <c r="N31" s="14">
        <f t="shared" si="6"/>
        <v>0.08291666667</v>
      </c>
      <c r="O31" s="14">
        <f t="shared" si="7"/>
        <v>0.01754881038</v>
      </c>
    </row>
    <row r="32">
      <c r="A32" s="6" t="s">
        <v>69</v>
      </c>
      <c r="B32" s="20">
        <f t="shared" si="13"/>
        <v>0</v>
      </c>
      <c r="C32" s="20">
        <f t="shared" si="12"/>
        <v>-0.04965753425</v>
      </c>
      <c r="D32" s="21">
        <v>5.84</v>
      </c>
      <c r="E32" s="21">
        <v>5.84</v>
      </c>
      <c r="F32" s="21">
        <v>5.84</v>
      </c>
      <c r="G32" s="21">
        <v>5.55</v>
      </c>
      <c r="H32" s="21" t="s">
        <v>67</v>
      </c>
      <c r="I32" s="22">
        <v>26.5</v>
      </c>
      <c r="J32" s="38">
        <v>26.5</v>
      </c>
      <c r="K32" s="21">
        <f t="shared" si="3"/>
        <v>0.2094339623</v>
      </c>
      <c r="L32" s="24">
        <f t="shared" si="4"/>
        <v>1.675471698</v>
      </c>
      <c r="M32" s="14">
        <f t="shared" si="5"/>
        <v>0.1047169811</v>
      </c>
      <c r="N32" s="14">
        <f t="shared" si="6"/>
        <v>0.03490566038</v>
      </c>
      <c r="O32" s="14">
        <f t="shared" si="7"/>
        <v>0.007387571642</v>
      </c>
    </row>
    <row r="33">
      <c r="A33" s="34" t="s">
        <v>70</v>
      </c>
      <c r="B33" s="20">
        <f t="shared" si="13"/>
        <v>0.1640449438</v>
      </c>
      <c r="C33" s="20">
        <f t="shared" si="12"/>
        <v>-0.0983935743</v>
      </c>
      <c r="D33" s="21">
        <v>4.45</v>
      </c>
      <c r="E33" s="21">
        <v>5.18</v>
      </c>
      <c r="F33" s="21">
        <v>4.98</v>
      </c>
      <c r="G33" s="21">
        <v>4.49</v>
      </c>
      <c r="H33" s="21" t="s">
        <v>67</v>
      </c>
      <c r="I33" s="22" t="s">
        <v>71</v>
      </c>
      <c r="J33" s="23">
        <v>100.0</v>
      </c>
      <c r="K33" s="21">
        <f t="shared" si="3"/>
        <v>0.0449</v>
      </c>
      <c r="L33" s="24">
        <f t="shared" si="4"/>
        <v>0.3592</v>
      </c>
      <c r="M33" s="14">
        <f t="shared" si="5"/>
        <v>0.02245</v>
      </c>
      <c r="N33" s="14">
        <f t="shared" si="6"/>
        <v>0.007483333333</v>
      </c>
      <c r="O33" s="14">
        <f t="shared" si="7"/>
        <v>0.001583802183</v>
      </c>
    </row>
    <row r="34">
      <c r="A34" s="39" t="s">
        <v>72</v>
      </c>
      <c r="B34" s="20">
        <f t="shared" si="13"/>
        <v>1.841683367</v>
      </c>
      <c r="C34" s="20">
        <f t="shared" si="12"/>
        <v>-0.4781382228</v>
      </c>
      <c r="D34" s="21">
        <v>4.99</v>
      </c>
      <c r="E34" s="21">
        <v>14.18</v>
      </c>
      <c r="F34" s="21">
        <v>14.18</v>
      </c>
      <c r="G34" s="21">
        <v>7.4</v>
      </c>
      <c r="H34" s="21" t="s">
        <v>67</v>
      </c>
      <c r="I34" s="22" t="s">
        <v>73</v>
      </c>
      <c r="J34" s="23">
        <v>50.0</v>
      </c>
      <c r="K34" s="21">
        <f t="shared" si="3"/>
        <v>0.148</v>
      </c>
      <c r="L34" s="24">
        <f t="shared" si="4"/>
        <v>1.184</v>
      </c>
      <c r="M34" s="14">
        <f t="shared" si="5"/>
        <v>0.074</v>
      </c>
      <c r="N34" s="14">
        <f t="shared" si="6"/>
        <v>0.02466666667</v>
      </c>
      <c r="O34" s="14">
        <f t="shared" si="7"/>
        <v>0.005220550627</v>
      </c>
    </row>
    <row r="35">
      <c r="A35" s="40" t="s">
        <v>74</v>
      </c>
      <c r="B35" s="20">
        <f t="shared" si="13"/>
        <v>-0.2031195841</v>
      </c>
      <c r="C35" s="20">
        <f t="shared" si="12"/>
        <v>0.04349717268</v>
      </c>
      <c r="D35" s="21">
        <v>28.85</v>
      </c>
      <c r="E35" s="21">
        <v>22.99</v>
      </c>
      <c r="F35" s="21">
        <v>22.99</v>
      </c>
      <c r="G35" s="21">
        <v>23.99</v>
      </c>
      <c r="H35" s="21" t="s">
        <v>67</v>
      </c>
      <c r="I35" s="22" t="s">
        <v>75</v>
      </c>
      <c r="J35" s="23">
        <v>120.0</v>
      </c>
      <c r="K35" s="21">
        <f t="shared" si="3"/>
        <v>0.1999166667</v>
      </c>
      <c r="L35" s="24">
        <f t="shared" si="4"/>
        <v>1.599333333</v>
      </c>
      <c r="M35" s="14">
        <f t="shared" si="5"/>
        <v>0.09995833333</v>
      </c>
      <c r="N35" s="14">
        <f t="shared" si="6"/>
        <v>0.03331944444</v>
      </c>
      <c r="O35" s="14">
        <f t="shared" si="7"/>
        <v>0.007051858645</v>
      </c>
    </row>
    <row r="36">
      <c r="A36" s="39" t="s">
        <v>76</v>
      </c>
      <c r="B36" s="20">
        <f t="shared" si="13"/>
        <v>-0.09687034277</v>
      </c>
      <c r="C36" s="20">
        <f t="shared" si="12"/>
        <v>0.2310231023</v>
      </c>
      <c r="D36" s="21">
        <v>6.71</v>
      </c>
      <c r="E36" s="21">
        <v>6.06</v>
      </c>
      <c r="F36" s="21">
        <v>6.06</v>
      </c>
      <c r="G36" s="21">
        <v>7.46</v>
      </c>
      <c r="H36" s="21" t="s">
        <v>67</v>
      </c>
      <c r="I36" s="22" t="s">
        <v>77</v>
      </c>
      <c r="J36" s="23">
        <v>50.0</v>
      </c>
      <c r="K36" s="21">
        <f t="shared" si="3"/>
        <v>0.1492</v>
      </c>
      <c r="L36" s="24">
        <f t="shared" si="4"/>
        <v>1.1936</v>
      </c>
      <c r="M36" s="14">
        <f t="shared" si="5"/>
        <v>0.0746</v>
      </c>
      <c r="N36" s="14">
        <f t="shared" si="6"/>
        <v>0.02486666667</v>
      </c>
      <c r="O36" s="14">
        <f t="shared" si="7"/>
        <v>0.005262879416</v>
      </c>
    </row>
    <row r="37">
      <c r="A37" s="40" t="s">
        <v>78</v>
      </c>
      <c r="B37" s="20">
        <f t="shared" si="13"/>
        <v>0.08976660682</v>
      </c>
      <c r="C37" s="20">
        <f t="shared" si="12"/>
        <v>0.1532125206</v>
      </c>
      <c r="D37" s="21">
        <v>5.57</v>
      </c>
      <c r="E37" s="21">
        <v>6.07</v>
      </c>
      <c r="F37" s="21">
        <v>6.07</v>
      </c>
      <c r="G37" s="21">
        <v>7.0</v>
      </c>
      <c r="H37" s="21" t="s">
        <v>67</v>
      </c>
      <c r="I37" s="22" t="s">
        <v>77</v>
      </c>
      <c r="J37" s="23">
        <v>50.0</v>
      </c>
      <c r="K37" s="21">
        <f t="shared" si="3"/>
        <v>0.14</v>
      </c>
      <c r="L37" s="24">
        <f t="shared" si="4"/>
        <v>1.12</v>
      </c>
      <c r="M37" s="14">
        <f t="shared" si="5"/>
        <v>0.07</v>
      </c>
      <c r="N37" s="14">
        <f t="shared" si="6"/>
        <v>0.02333333333</v>
      </c>
      <c r="O37" s="14">
        <f t="shared" si="7"/>
        <v>0.004938358701</v>
      </c>
    </row>
    <row r="38">
      <c r="A38" s="40" t="s">
        <v>79</v>
      </c>
      <c r="B38" s="20">
        <f t="shared" si="13"/>
        <v>0.4149184149</v>
      </c>
      <c r="C38" s="20">
        <f t="shared" si="12"/>
        <v>0.2009884679</v>
      </c>
      <c r="D38" s="21">
        <v>4.29</v>
      </c>
      <c r="E38" s="21">
        <v>6.07</v>
      </c>
      <c r="F38" s="21">
        <v>6.07</v>
      </c>
      <c r="G38" s="21">
        <v>7.29</v>
      </c>
      <c r="H38" s="21" t="s">
        <v>67</v>
      </c>
      <c r="I38" s="22" t="s">
        <v>77</v>
      </c>
      <c r="J38" s="23">
        <v>50.0</v>
      </c>
      <c r="K38" s="21">
        <f t="shared" si="3"/>
        <v>0.1458</v>
      </c>
      <c r="L38" s="24">
        <f t="shared" si="4"/>
        <v>1.1664</v>
      </c>
      <c r="M38" s="14">
        <f t="shared" si="5"/>
        <v>0.0729</v>
      </c>
      <c r="N38" s="14">
        <f t="shared" si="6"/>
        <v>0.0243</v>
      </c>
      <c r="O38" s="14">
        <f t="shared" si="7"/>
        <v>0.005142947847</v>
      </c>
    </row>
    <row r="39">
      <c r="A39" s="34" t="s">
        <v>80</v>
      </c>
      <c r="B39" s="20">
        <f t="shared" si="13"/>
        <v>0.104916655</v>
      </c>
      <c r="C39" s="20">
        <f t="shared" si="12"/>
        <v>-0.1380578093</v>
      </c>
      <c r="D39" s="21">
        <v>71.39</v>
      </c>
      <c r="E39" s="21">
        <v>78.88</v>
      </c>
      <c r="F39" s="21">
        <v>78.88</v>
      </c>
      <c r="G39" s="21">
        <v>67.99</v>
      </c>
      <c r="H39" s="21" t="s">
        <v>67</v>
      </c>
      <c r="I39" s="22" t="s">
        <v>81</v>
      </c>
      <c r="J39" s="23">
        <v>80.0</v>
      </c>
      <c r="K39" s="21">
        <f t="shared" si="3"/>
        <v>0.849875</v>
      </c>
      <c r="L39" s="24">
        <f t="shared" si="4"/>
        <v>6.799</v>
      </c>
      <c r="M39" s="14">
        <f t="shared" si="5"/>
        <v>0.4249375</v>
      </c>
      <c r="N39" s="14">
        <f t="shared" si="6"/>
        <v>0.1416458333</v>
      </c>
      <c r="O39" s="14">
        <f t="shared" si="7"/>
        <v>0.02997848287</v>
      </c>
    </row>
    <row r="40">
      <c r="A40" s="34" t="s">
        <v>82</v>
      </c>
      <c r="B40" s="20">
        <f t="shared" si="13"/>
        <v>0</v>
      </c>
      <c r="C40" s="20">
        <f t="shared" si="12"/>
        <v>0.1579778831</v>
      </c>
      <c r="D40" s="21">
        <v>18.99</v>
      </c>
      <c r="E40" s="21">
        <v>18.99</v>
      </c>
      <c r="F40" s="21">
        <v>18.99</v>
      </c>
      <c r="G40" s="21">
        <v>21.99</v>
      </c>
      <c r="H40" s="21" t="s">
        <v>67</v>
      </c>
      <c r="I40" s="22" t="s">
        <v>34</v>
      </c>
      <c r="J40" s="23">
        <v>16.0</v>
      </c>
      <c r="K40" s="21">
        <f t="shared" si="3"/>
        <v>1.374375</v>
      </c>
      <c r="L40" s="24">
        <f t="shared" si="4"/>
        <v>10.995</v>
      </c>
      <c r="M40" s="14">
        <f t="shared" si="5"/>
        <v>0.6871875</v>
      </c>
      <c r="N40" s="14">
        <f t="shared" si="6"/>
        <v>0.2290625</v>
      </c>
      <c r="O40" s="14">
        <f t="shared" si="7"/>
        <v>0.048479691</v>
      </c>
    </row>
    <row r="41">
      <c r="A41" s="34" t="s">
        <v>83</v>
      </c>
      <c r="B41" s="20">
        <f t="shared" si="13"/>
        <v>-0.2679127726</v>
      </c>
      <c r="C41" s="20">
        <f t="shared" si="12"/>
        <v>0.3659574468</v>
      </c>
      <c r="D41" s="21">
        <v>25.68</v>
      </c>
      <c r="E41" s="21">
        <v>18.8</v>
      </c>
      <c r="F41" s="21">
        <v>18.8</v>
      </c>
      <c r="G41" s="21">
        <v>25.68</v>
      </c>
      <c r="H41" s="21" t="s">
        <v>67</v>
      </c>
      <c r="I41" s="22" t="s">
        <v>84</v>
      </c>
      <c r="J41" s="23">
        <v>192.0</v>
      </c>
      <c r="K41" s="21">
        <f t="shared" si="3"/>
        <v>0.13375</v>
      </c>
      <c r="L41" s="24">
        <f t="shared" si="4"/>
        <v>1.07</v>
      </c>
      <c r="M41" s="14">
        <f t="shared" si="5"/>
        <v>0.066875</v>
      </c>
      <c r="N41" s="14">
        <f t="shared" si="6"/>
        <v>0.02229166667</v>
      </c>
      <c r="O41" s="14">
        <f t="shared" si="7"/>
        <v>0.004717896259</v>
      </c>
    </row>
    <row r="42">
      <c r="A42" s="6" t="s">
        <v>85</v>
      </c>
      <c r="B42" s="20">
        <f t="shared" si="13"/>
        <v>0.2773056342</v>
      </c>
      <c r="C42" s="20">
        <f t="shared" si="12"/>
        <v>-0.3612617053</v>
      </c>
      <c r="D42" s="21">
        <v>31.77</v>
      </c>
      <c r="E42" s="21">
        <v>40.58</v>
      </c>
      <c r="F42" s="21">
        <v>40.58</v>
      </c>
      <c r="G42" s="21">
        <v>25.92</v>
      </c>
      <c r="H42" s="21" t="s">
        <v>67</v>
      </c>
      <c r="I42" s="22" t="s">
        <v>86</v>
      </c>
      <c r="J42" s="23">
        <f t="shared" ref="J42:J46" si="14">25.4*4</f>
        <v>101.6</v>
      </c>
      <c r="K42" s="21">
        <f t="shared" si="3"/>
        <v>0.2551181102</v>
      </c>
      <c r="L42" s="24">
        <f t="shared" si="4"/>
        <v>2.040944882</v>
      </c>
      <c r="M42" s="14">
        <f t="shared" si="5"/>
        <v>0.1275590551</v>
      </c>
      <c r="N42" s="14">
        <f t="shared" si="6"/>
        <v>0.04251968504</v>
      </c>
      <c r="O42" s="14">
        <f t="shared" si="7"/>
        <v>0.008999033854</v>
      </c>
    </row>
    <row r="43">
      <c r="A43" s="6" t="s">
        <v>87</v>
      </c>
      <c r="B43" s="20">
        <f t="shared" si="13"/>
        <v>-0.1244315833</v>
      </c>
      <c r="C43" s="20">
        <f t="shared" si="12"/>
        <v>0.2993389991</v>
      </c>
      <c r="D43" s="21">
        <v>24.19</v>
      </c>
      <c r="E43" s="21">
        <v>21.18</v>
      </c>
      <c r="F43" s="21">
        <v>21.18</v>
      </c>
      <c r="G43" s="21">
        <v>27.52</v>
      </c>
      <c r="H43" s="21" t="s">
        <v>67</v>
      </c>
      <c r="I43" s="22" t="s">
        <v>86</v>
      </c>
      <c r="J43" s="23">
        <f t="shared" si="14"/>
        <v>101.6</v>
      </c>
      <c r="K43" s="21">
        <f t="shared" si="3"/>
        <v>0.2708661417</v>
      </c>
      <c r="L43" s="24">
        <f t="shared" si="4"/>
        <v>2.166929134</v>
      </c>
      <c r="M43" s="14">
        <f t="shared" si="5"/>
        <v>0.1354330709</v>
      </c>
      <c r="N43" s="14">
        <f t="shared" si="6"/>
        <v>0.04514435696</v>
      </c>
      <c r="O43" s="14">
        <f t="shared" si="7"/>
        <v>0.009554529771</v>
      </c>
    </row>
    <row r="44">
      <c r="A44" s="41" t="s">
        <v>88</v>
      </c>
      <c r="B44" s="20">
        <f t="shared" si="13"/>
        <v>-0.01430615165</v>
      </c>
      <c r="C44" s="20">
        <f t="shared" si="12"/>
        <v>0.07256894049</v>
      </c>
      <c r="D44" s="21">
        <v>27.96</v>
      </c>
      <c r="E44" s="21">
        <v>27.56</v>
      </c>
      <c r="F44" s="21">
        <v>27.56</v>
      </c>
      <c r="G44" s="21">
        <v>29.56</v>
      </c>
      <c r="H44" s="21" t="s">
        <v>67</v>
      </c>
      <c r="I44" s="22" t="s">
        <v>86</v>
      </c>
      <c r="J44" s="23">
        <f t="shared" si="14"/>
        <v>101.6</v>
      </c>
      <c r="K44" s="21">
        <f t="shared" si="3"/>
        <v>0.2909448819</v>
      </c>
      <c r="L44" s="24">
        <f t="shared" si="4"/>
        <v>2.327559055</v>
      </c>
      <c r="M44" s="14">
        <f t="shared" si="5"/>
        <v>0.1454724409</v>
      </c>
      <c r="N44" s="14">
        <f t="shared" si="6"/>
        <v>0.04849081365</v>
      </c>
      <c r="O44" s="14">
        <f t="shared" si="7"/>
        <v>0.01026278706</v>
      </c>
    </row>
    <row r="45">
      <c r="A45" s="41" t="s">
        <v>89</v>
      </c>
      <c r="B45" s="20">
        <f t="shared" si="13"/>
        <v>0.01633986928</v>
      </c>
      <c r="C45" s="20">
        <f t="shared" si="12"/>
        <v>0.1881028939</v>
      </c>
      <c r="D45" s="21">
        <v>24.48</v>
      </c>
      <c r="E45" s="21">
        <v>24.88</v>
      </c>
      <c r="F45" s="21">
        <v>24.88</v>
      </c>
      <c r="G45" s="21">
        <v>29.56</v>
      </c>
      <c r="H45" s="21" t="s">
        <v>67</v>
      </c>
      <c r="I45" s="22" t="s">
        <v>86</v>
      </c>
      <c r="J45" s="23">
        <f t="shared" si="14"/>
        <v>101.6</v>
      </c>
      <c r="K45" s="21">
        <f t="shared" si="3"/>
        <v>0.2909448819</v>
      </c>
      <c r="L45" s="24">
        <f t="shared" si="4"/>
        <v>2.327559055</v>
      </c>
      <c r="M45" s="14">
        <f t="shared" si="5"/>
        <v>0.1454724409</v>
      </c>
      <c r="N45" s="14">
        <f t="shared" si="6"/>
        <v>0.04849081365</v>
      </c>
      <c r="O45" s="14">
        <f t="shared" si="7"/>
        <v>0.01026278706</v>
      </c>
    </row>
    <row r="46">
      <c r="A46" s="6" t="s">
        <v>90</v>
      </c>
      <c r="B46" s="20">
        <f t="shared" si="13"/>
        <v>0.7066993464</v>
      </c>
      <c r="C46" s="20">
        <f t="shared" si="12"/>
        <v>-0.2352800383</v>
      </c>
      <c r="D46" s="21">
        <v>24.48</v>
      </c>
      <c r="E46" s="21">
        <v>41.78</v>
      </c>
      <c r="F46" s="21">
        <v>41.78</v>
      </c>
      <c r="G46" s="21">
        <v>31.95</v>
      </c>
      <c r="H46" s="21" t="s">
        <v>67</v>
      </c>
      <c r="I46" s="22" t="s">
        <v>86</v>
      </c>
      <c r="J46" s="23">
        <f t="shared" si="14"/>
        <v>101.6</v>
      </c>
      <c r="K46" s="21">
        <f t="shared" si="3"/>
        <v>0.3144685039</v>
      </c>
      <c r="L46" s="24">
        <f t="shared" si="4"/>
        <v>2.515748031</v>
      </c>
      <c r="M46" s="14">
        <f t="shared" si="5"/>
        <v>0.157234252</v>
      </c>
      <c r="N46" s="14">
        <f t="shared" si="6"/>
        <v>0.05241141732</v>
      </c>
      <c r="O46" s="14">
        <f t="shared" si="7"/>
        <v>0.01109255909</v>
      </c>
    </row>
    <row r="47">
      <c r="A47" s="6" t="s">
        <v>91</v>
      </c>
      <c r="B47" s="20">
        <f t="shared" si="13"/>
        <v>0.6226244344</v>
      </c>
      <c r="C47" s="20">
        <f t="shared" si="12"/>
        <v>0.5482431679</v>
      </c>
      <c r="D47" s="21">
        <v>11.05</v>
      </c>
      <c r="E47" s="21">
        <v>17.93</v>
      </c>
      <c r="F47" s="21">
        <v>17.93</v>
      </c>
      <c r="G47" s="21">
        <v>27.76</v>
      </c>
      <c r="H47" s="21" t="s">
        <v>67</v>
      </c>
      <c r="I47" s="22" t="s">
        <v>92</v>
      </c>
      <c r="J47" s="23">
        <v>102.0</v>
      </c>
      <c r="K47" s="21">
        <f t="shared" si="3"/>
        <v>0.2721568627</v>
      </c>
      <c r="L47" s="24">
        <f t="shared" si="4"/>
        <v>2.177254902</v>
      </c>
      <c r="M47" s="14">
        <f t="shared" si="5"/>
        <v>0.1360784314</v>
      </c>
      <c r="N47" s="14">
        <f t="shared" si="6"/>
        <v>0.04535947712</v>
      </c>
      <c r="O47" s="14">
        <f t="shared" si="7"/>
        <v>0.009600058652</v>
      </c>
    </row>
    <row r="48">
      <c r="A48" s="6" t="s">
        <v>93</v>
      </c>
      <c r="B48" s="20">
        <f t="shared" si="13"/>
        <v>-0.1264326648</v>
      </c>
      <c r="C48" s="20">
        <f t="shared" si="12"/>
        <v>0.2119721197</v>
      </c>
      <c r="D48" s="21">
        <v>27.92</v>
      </c>
      <c r="E48" s="21">
        <v>24.39</v>
      </c>
      <c r="F48" s="21">
        <v>24.39</v>
      </c>
      <c r="G48" s="21">
        <v>29.56</v>
      </c>
      <c r="H48" s="21" t="s">
        <v>67</v>
      </c>
      <c r="I48" s="22" t="s">
        <v>86</v>
      </c>
      <c r="J48" s="23">
        <v>102.0</v>
      </c>
      <c r="K48" s="21">
        <f t="shared" si="3"/>
        <v>0.2898039216</v>
      </c>
      <c r="L48" s="24">
        <f t="shared" si="4"/>
        <v>2.318431373</v>
      </c>
      <c r="M48" s="14">
        <f t="shared" si="5"/>
        <v>0.1449019608</v>
      </c>
      <c r="N48" s="14">
        <f t="shared" si="6"/>
        <v>0.04830065359</v>
      </c>
      <c r="O48" s="14">
        <f t="shared" si="7"/>
        <v>0.01022254084</v>
      </c>
    </row>
    <row r="49">
      <c r="A49" s="6" t="s">
        <v>94</v>
      </c>
      <c r="B49" s="20">
        <f t="shared" si="13"/>
        <v>-0.1378279641</v>
      </c>
      <c r="C49" s="20">
        <f t="shared" si="12"/>
        <v>0.1386748844</v>
      </c>
      <c r="D49" s="21">
        <v>30.11</v>
      </c>
      <c r="E49" s="21">
        <v>25.96</v>
      </c>
      <c r="F49" s="21">
        <v>25.96</v>
      </c>
      <c r="G49" s="21">
        <v>29.56</v>
      </c>
      <c r="H49" s="21" t="s">
        <v>67</v>
      </c>
      <c r="I49" s="22" t="s">
        <v>86</v>
      </c>
      <c r="J49" s="23">
        <v>102.0</v>
      </c>
      <c r="K49" s="21">
        <f t="shared" si="3"/>
        <v>0.2898039216</v>
      </c>
      <c r="L49" s="24">
        <f t="shared" si="4"/>
        <v>2.318431373</v>
      </c>
      <c r="M49" s="14">
        <f t="shared" si="5"/>
        <v>0.1449019608</v>
      </c>
      <c r="N49" s="14">
        <f t="shared" si="6"/>
        <v>0.04830065359</v>
      </c>
      <c r="O49" s="14">
        <f t="shared" si="7"/>
        <v>0.01022254084</v>
      </c>
    </row>
    <row r="50">
      <c r="A50" s="6" t="s">
        <v>95</v>
      </c>
      <c r="B50" s="20">
        <f t="shared" si="13"/>
        <v>-0.1801801802</v>
      </c>
      <c r="C50" s="20">
        <f t="shared" si="12"/>
        <v>0.07448107448</v>
      </c>
      <c r="D50" s="21">
        <v>9.99</v>
      </c>
      <c r="E50" s="21">
        <v>8.19</v>
      </c>
      <c r="F50" s="21">
        <v>8.19</v>
      </c>
      <c r="G50" s="21">
        <v>8.8</v>
      </c>
      <c r="H50" s="21" t="s">
        <v>67</v>
      </c>
      <c r="I50" s="25" t="s">
        <v>96</v>
      </c>
      <c r="J50" s="23">
        <v>25.0</v>
      </c>
      <c r="K50" s="21">
        <f t="shared" si="3"/>
        <v>0.352</v>
      </c>
      <c r="L50" s="24">
        <f t="shared" si="4"/>
        <v>2.816</v>
      </c>
      <c r="M50" s="14">
        <f t="shared" si="5"/>
        <v>0.176</v>
      </c>
      <c r="N50" s="14">
        <f t="shared" si="6"/>
        <v>0.05866666667</v>
      </c>
      <c r="O50" s="14">
        <f t="shared" si="7"/>
        <v>0.01241644473</v>
      </c>
    </row>
    <row r="51">
      <c r="A51" s="6" t="s">
        <v>97</v>
      </c>
      <c r="B51" s="20">
        <f t="shared" si="13"/>
        <v>-0.1650992685</v>
      </c>
      <c r="C51" s="20">
        <f t="shared" si="12"/>
        <v>1.315394243</v>
      </c>
      <c r="D51" s="21">
        <v>9.57</v>
      </c>
      <c r="E51" s="21">
        <v>7.99</v>
      </c>
      <c r="F51" s="21">
        <v>7.99</v>
      </c>
      <c r="G51" s="21">
        <v>18.5</v>
      </c>
      <c r="H51" s="21" t="s">
        <v>67</v>
      </c>
      <c r="I51" s="25" t="s">
        <v>96</v>
      </c>
      <c r="J51" s="23">
        <v>25.0</v>
      </c>
      <c r="K51" s="21">
        <f t="shared" si="3"/>
        <v>0.74</v>
      </c>
      <c r="L51" s="24">
        <f t="shared" si="4"/>
        <v>5.92</v>
      </c>
      <c r="M51" s="14">
        <f t="shared" si="5"/>
        <v>0.37</v>
      </c>
      <c r="N51" s="14">
        <f t="shared" si="6"/>
        <v>0.1233333333</v>
      </c>
      <c r="O51" s="14">
        <f t="shared" si="7"/>
        <v>0.02610275313</v>
      </c>
    </row>
    <row r="52">
      <c r="A52" s="6" t="s">
        <v>98</v>
      </c>
      <c r="B52" s="20">
        <f t="shared" si="13"/>
        <v>-0.006846846847</v>
      </c>
      <c r="C52" s="20">
        <f t="shared" si="12"/>
        <v>0.04862119013</v>
      </c>
      <c r="D52" s="21">
        <v>27.75</v>
      </c>
      <c r="E52" s="21">
        <v>27.56</v>
      </c>
      <c r="F52" s="21">
        <v>27.56</v>
      </c>
      <c r="G52" s="21">
        <v>28.9</v>
      </c>
      <c r="H52" s="21" t="s">
        <v>67</v>
      </c>
      <c r="I52" s="22" t="s">
        <v>86</v>
      </c>
      <c r="J52" s="23">
        <f t="shared" ref="J52:J55" si="15">25.4*4</f>
        <v>101.6</v>
      </c>
      <c r="K52" s="21">
        <f t="shared" si="3"/>
        <v>0.2844488189</v>
      </c>
      <c r="L52" s="24">
        <f t="shared" si="4"/>
        <v>2.275590551</v>
      </c>
      <c r="M52" s="14">
        <f t="shared" si="5"/>
        <v>0.1422244094</v>
      </c>
      <c r="N52" s="14">
        <f t="shared" si="6"/>
        <v>0.04740813648</v>
      </c>
      <c r="O52" s="14">
        <f t="shared" si="7"/>
        <v>0.010033645</v>
      </c>
    </row>
    <row r="53">
      <c r="A53" s="6" t="s">
        <v>99</v>
      </c>
      <c r="B53" s="20">
        <f t="shared" si="13"/>
        <v>-0.1143654114</v>
      </c>
      <c r="C53" s="20">
        <f t="shared" si="12"/>
        <v>0.1637795276</v>
      </c>
      <c r="D53" s="21">
        <v>28.68</v>
      </c>
      <c r="E53" s="21">
        <v>25.4</v>
      </c>
      <c r="F53" s="21">
        <v>25.4</v>
      </c>
      <c r="G53" s="21">
        <v>29.56</v>
      </c>
      <c r="H53" s="21" t="s">
        <v>67</v>
      </c>
      <c r="I53" s="22" t="s">
        <v>86</v>
      </c>
      <c r="J53" s="23">
        <f t="shared" si="15"/>
        <v>101.6</v>
      </c>
      <c r="K53" s="21">
        <f t="shared" si="3"/>
        <v>0.2909448819</v>
      </c>
      <c r="L53" s="24">
        <f t="shared" si="4"/>
        <v>2.327559055</v>
      </c>
      <c r="M53" s="14">
        <f t="shared" si="5"/>
        <v>0.1454724409</v>
      </c>
      <c r="N53" s="14">
        <f t="shared" si="6"/>
        <v>0.04849081365</v>
      </c>
      <c r="O53" s="14">
        <f t="shared" si="7"/>
        <v>0.01026278706</v>
      </c>
    </row>
    <row r="54">
      <c r="A54" s="6" t="s">
        <v>100</v>
      </c>
      <c r="B54" s="20">
        <f t="shared" si="13"/>
        <v>0.479317852</v>
      </c>
      <c r="C54" s="20">
        <f t="shared" si="12"/>
        <v>-0.3379936228</v>
      </c>
      <c r="D54" s="21">
        <v>27.56</v>
      </c>
      <c r="E54" s="21">
        <v>40.77</v>
      </c>
      <c r="F54" s="21">
        <v>40.77</v>
      </c>
      <c r="G54" s="21">
        <v>26.99</v>
      </c>
      <c r="H54" s="21" t="s">
        <v>67</v>
      </c>
      <c r="I54" s="22" t="s">
        <v>86</v>
      </c>
      <c r="J54" s="23">
        <f t="shared" si="15"/>
        <v>101.6</v>
      </c>
      <c r="K54" s="21">
        <f t="shared" si="3"/>
        <v>0.2656496063</v>
      </c>
      <c r="L54" s="24">
        <f t="shared" si="4"/>
        <v>2.12519685</v>
      </c>
      <c r="M54" s="14">
        <f t="shared" si="5"/>
        <v>0.1328248031</v>
      </c>
      <c r="N54" s="14">
        <f t="shared" si="6"/>
        <v>0.04427493438</v>
      </c>
      <c r="O54" s="14">
        <f t="shared" si="7"/>
        <v>0.009370521748</v>
      </c>
    </row>
    <row r="55">
      <c r="A55" s="6" t="s">
        <v>101</v>
      </c>
      <c r="B55" s="20">
        <f t="shared" si="13"/>
        <v>0.6007500852</v>
      </c>
      <c r="C55" s="20">
        <f t="shared" si="12"/>
        <v>-0.3703940362</v>
      </c>
      <c r="D55" s="21">
        <v>29.33</v>
      </c>
      <c r="E55" s="21">
        <v>46.95</v>
      </c>
      <c r="F55" s="21">
        <v>46.95</v>
      </c>
      <c r="G55" s="21">
        <v>29.56</v>
      </c>
      <c r="H55" s="21" t="s">
        <v>67</v>
      </c>
      <c r="I55" s="22" t="s">
        <v>86</v>
      </c>
      <c r="J55" s="23">
        <f t="shared" si="15"/>
        <v>101.6</v>
      </c>
      <c r="K55" s="21">
        <f t="shared" si="3"/>
        <v>0.2909448819</v>
      </c>
      <c r="L55" s="24">
        <f t="shared" si="4"/>
        <v>2.327559055</v>
      </c>
      <c r="M55" s="14">
        <f t="shared" si="5"/>
        <v>0.1454724409</v>
      </c>
      <c r="N55" s="14">
        <f t="shared" si="6"/>
        <v>0.04849081365</v>
      </c>
      <c r="O55" s="14">
        <f t="shared" si="7"/>
        <v>0.01026278706</v>
      </c>
    </row>
    <row r="56">
      <c r="A56" s="34" t="s">
        <v>102</v>
      </c>
      <c r="B56" s="20">
        <f t="shared" si="13"/>
        <v>0</v>
      </c>
      <c r="C56" s="20">
        <f t="shared" si="12"/>
        <v>-0.1450725363</v>
      </c>
      <c r="D56" s="21">
        <v>19.99</v>
      </c>
      <c r="E56" s="21">
        <v>19.99</v>
      </c>
      <c r="F56" s="21">
        <v>19.99</v>
      </c>
      <c r="G56" s="21">
        <v>17.09</v>
      </c>
      <c r="H56" s="21" t="s">
        <v>67</v>
      </c>
      <c r="I56" s="22" t="s">
        <v>84</v>
      </c>
      <c r="J56" s="23">
        <v>192.0</v>
      </c>
      <c r="K56" s="21">
        <f t="shared" si="3"/>
        <v>0.08901041667</v>
      </c>
      <c r="L56" s="24">
        <f t="shared" si="4"/>
        <v>0.7120833333</v>
      </c>
      <c r="M56" s="14">
        <f t="shared" si="5"/>
        <v>0.04450520833</v>
      </c>
      <c r="N56" s="14">
        <f t="shared" si="6"/>
        <v>0.01483506944</v>
      </c>
      <c r="O56" s="14">
        <f t="shared" si="7"/>
        <v>0.003139752612</v>
      </c>
    </row>
    <row r="57">
      <c r="A57" s="6" t="s">
        <v>103</v>
      </c>
      <c r="B57" s="20">
        <f t="shared" si="13"/>
        <v>-0.005757858699</v>
      </c>
      <c r="C57" s="20">
        <f t="shared" si="12"/>
        <v>0.008608545938</v>
      </c>
      <c r="D57" s="21">
        <v>64.26</v>
      </c>
      <c r="E57" s="21">
        <v>63.89</v>
      </c>
      <c r="F57" s="21">
        <v>63.89</v>
      </c>
      <c r="G57" s="21">
        <v>64.44</v>
      </c>
      <c r="H57" s="21" t="s">
        <v>67</v>
      </c>
      <c r="I57" s="22" t="s">
        <v>104</v>
      </c>
      <c r="J57" s="23">
        <v>384.0</v>
      </c>
      <c r="K57" s="21">
        <f t="shared" si="3"/>
        <v>0.1678125</v>
      </c>
      <c r="L57" s="24">
        <f t="shared" si="4"/>
        <v>1.3425</v>
      </c>
      <c r="M57" s="14">
        <f t="shared" si="5"/>
        <v>0.08390625</v>
      </c>
      <c r="N57" s="14">
        <f t="shared" si="6"/>
        <v>0.02796875</v>
      </c>
      <c r="O57" s="14">
        <f t="shared" si="7"/>
        <v>0.005919416568</v>
      </c>
    </row>
    <row r="58">
      <c r="A58" s="6" t="s">
        <v>105</v>
      </c>
      <c r="B58" s="20">
        <f t="shared" si="13"/>
        <v>-0.1488880513</v>
      </c>
      <c r="C58" s="20">
        <f t="shared" si="12"/>
        <v>-0.02612931798</v>
      </c>
      <c r="D58" s="21">
        <v>26.53</v>
      </c>
      <c r="E58" s="21">
        <v>22.58</v>
      </c>
      <c r="F58" s="21">
        <v>22.58</v>
      </c>
      <c r="G58" s="21">
        <v>21.99</v>
      </c>
      <c r="H58" s="21" t="s">
        <v>67</v>
      </c>
      <c r="I58" s="22" t="s">
        <v>106</v>
      </c>
      <c r="J58" s="23">
        <v>87.3</v>
      </c>
      <c r="K58" s="21">
        <f t="shared" si="3"/>
        <v>0.2518900344</v>
      </c>
      <c r="L58" s="24">
        <f t="shared" si="4"/>
        <v>2.015120275</v>
      </c>
      <c r="M58" s="14">
        <f t="shared" si="5"/>
        <v>0.1259450172</v>
      </c>
      <c r="N58" s="14">
        <f t="shared" si="6"/>
        <v>0.04198167239</v>
      </c>
      <c r="O58" s="14">
        <f t="shared" si="7"/>
        <v>0.008885166735</v>
      </c>
    </row>
    <row r="59">
      <c r="A59" s="6" t="s">
        <v>107</v>
      </c>
      <c r="B59" s="20">
        <f t="shared" si="13"/>
        <v>-0.1468706537</v>
      </c>
      <c r="C59" s="20">
        <f t="shared" si="12"/>
        <v>0.05673296381</v>
      </c>
      <c r="D59" s="21">
        <v>35.95</v>
      </c>
      <c r="E59" s="21">
        <v>30.67</v>
      </c>
      <c r="F59" s="21">
        <v>30.67</v>
      </c>
      <c r="G59" s="21">
        <v>32.41</v>
      </c>
      <c r="H59" s="21" t="s">
        <v>67</v>
      </c>
      <c r="I59" s="22" t="s">
        <v>108</v>
      </c>
      <c r="J59" s="23">
        <v>90.4</v>
      </c>
      <c r="K59" s="21">
        <f t="shared" si="3"/>
        <v>0.3585176991</v>
      </c>
      <c r="L59" s="24">
        <f t="shared" si="4"/>
        <v>2.868141593</v>
      </c>
      <c r="M59" s="14">
        <f t="shared" si="5"/>
        <v>0.1792588496</v>
      </c>
      <c r="N59" s="14">
        <f t="shared" si="6"/>
        <v>0.05975294985</v>
      </c>
      <c r="O59" s="14">
        <f t="shared" si="7"/>
        <v>0.01264634999</v>
      </c>
    </row>
    <row r="60">
      <c r="A60" s="41" t="s">
        <v>109</v>
      </c>
      <c r="B60" s="20">
        <f t="shared" si="13"/>
        <v>0</v>
      </c>
      <c r="C60" s="20">
        <f t="shared" si="12"/>
        <v>0</v>
      </c>
      <c r="D60" s="21">
        <v>29.99</v>
      </c>
      <c r="E60" s="21">
        <v>29.99</v>
      </c>
      <c r="F60" s="21">
        <v>29.99</v>
      </c>
      <c r="G60" s="21">
        <v>29.99</v>
      </c>
      <c r="H60" s="21" t="s">
        <v>67</v>
      </c>
      <c r="I60" s="22" t="s">
        <v>110</v>
      </c>
      <c r="J60" s="23">
        <v>24.0</v>
      </c>
      <c r="K60" s="21">
        <f t="shared" si="3"/>
        <v>1.249583333</v>
      </c>
      <c r="L60" s="24">
        <f t="shared" si="4"/>
        <v>9.996666667</v>
      </c>
      <c r="M60" s="14">
        <f t="shared" si="5"/>
        <v>0.6247916667</v>
      </c>
      <c r="N60" s="14">
        <f t="shared" si="6"/>
        <v>0.2082638889</v>
      </c>
      <c r="O60" s="14">
        <f t="shared" si="7"/>
        <v>0.04407779091</v>
      </c>
    </row>
    <row r="61">
      <c r="A61" s="41" t="s">
        <v>111</v>
      </c>
      <c r="B61" s="20">
        <f t="shared" si="13"/>
        <v>0</v>
      </c>
      <c r="C61" s="20">
        <f t="shared" si="12"/>
        <v>0</v>
      </c>
      <c r="D61" s="21">
        <v>29.99</v>
      </c>
      <c r="E61" s="21">
        <v>29.99</v>
      </c>
      <c r="F61" s="21">
        <v>29.99</v>
      </c>
      <c r="G61" s="21">
        <v>29.99</v>
      </c>
      <c r="H61" s="21" t="s">
        <v>67</v>
      </c>
      <c r="I61" s="22" t="s">
        <v>110</v>
      </c>
      <c r="J61" s="23">
        <v>24.0</v>
      </c>
      <c r="K61" s="21">
        <f t="shared" si="3"/>
        <v>1.249583333</v>
      </c>
      <c r="L61" s="24">
        <f t="shared" si="4"/>
        <v>9.996666667</v>
      </c>
      <c r="M61" s="14">
        <f t="shared" si="5"/>
        <v>0.6247916667</v>
      </c>
      <c r="N61" s="14">
        <f t="shared" si="6"/>
        <v>0.2082638889</v>
      </c>
      <c r="O61" s="14">
        <f t="shared" si="7"/>
        <v>0.04407779091</v>
      </c>
    </row>
    <row r="62">
      <c r="A62" s="34" t="s">
        <v>112</v>
      </c>
      <c r="B62" s="20">
        <f t="shared" si="13"/>
        <v>0</v>
      </c>
      <c r="C62" s="20">
        <f t="shared" si="12"/>
        <v>-0.1800554017</v>
      </c>
      <c r="D62" s="21">
        <v>3.61</v>
      </c>
      <c r="E62" s="21">
        <v>3.61</v>
      </c>
      <c r="F62" s="21">
        <v>3.61</v>
      </c>
      <c r="G62" s="21">
        <v>2.96</v>
      </c>
      <c r="H62" s="21" t="s">
        <v>67</v>
      </c>
      <c r="I62" s="22" t="s">
        <v>113</v>
      </c>
      <c r="J62" s="23">
        <v>3.25</v>
      </c>
      <c r="K62" s="21">
        <f t="shared" si="3"/>
        <v>0.9107692308</v>
      </c>
      <c r="L62" s="24">
        <f t="shared" si="4"/>
        <v>7.286153846</v>
      </c>
      <c r="M62" s="14">
        <f t="shared" si="5"/>
        <v>0.4553846154</v>
      </c>
      <c r="N62" s="14">
        <f t="shared" si="6"/>
        <v>0.1517948718</v>
      </c>
      <c r="O62" s="14">
        <f t="shared" si="7"/>
        <v>0.0321264654</v>
      </c>
    </row>
    <row r="63">
      <c r="A63" s="34" t="s">
        <v>114</v>
      </c>
      <c r="B63" s="20">
        <f t="shared" si="13"/>
        <v>-0.05125218404</v>
      </c>
      <c r="C63" s="20">
        <f t="shared" si="12"/>
        <v>-0.002455494168</v>
      </c>
      <c r="D63" s="21">
        <v>17.17</v>
      </c>
      <c r="E63" s="21">
        <v>16.29</v>
      </c>
      <c r="F63" s="21">
        <v>16.29</v>
      </c>
      <c r="G63" s="21">
        <v>16.25</v>
      </c>
      <c r="H63" s="21" t="s">
        <v>67</v>
      </c>
      <c r="I63" s="22" t="s">
        <v>39</v>
      </c>
      <c r="J63" s="23">
        <v>32.0</v>
      </c>
      <c r="K63" s="21">
        <f t="shared" si="3"/>
        <v>0.5078125</v>
      </c>
      <c r="L63" s="24">
        <f t="shared" si="4"/>
        <v>4.0625</v>
      </c>
      <c r="M63" s="14">
        <f t="shared" si="5"/>
        <v>0.25390625</v>
      </c>
      <c r="N63" s="14">
        <f t="shared" si="6"/>
        <v>0.08463541667</v>
      </c>
      <c r="O63" s="14">
        <f t="shared" si="7"/>
        <v>0.01791257341</v>
      </c>
    </row>
    <row r="64">
      <c r="A64" s="34" t="s">
        <v>115</v>
      </c>
      <c r="B64" s="20">
        <f t="shared" si="13"/>
        <v>0</v>
      </c>
      <c r="C64" s="20">
        <f t="shared" si="12"/>
        <v>-1</v>
      </c>
      <c r="D64" s="21">
        <v>60.0</v>
      </c>
      <c r="E64" s="21">
        <v>60.0</v>
      </c>
      <c r="F64" s="21">
        <v>60.0</v>
      </c>
      <c r="G64" s="24"/>
      <c r="H64" s="21" t="s">
        <v>116</v>
      </c>
      <c r="I64" s="22" t="s">
        <v>117</v>
      </c>
      <c r="J64" s="23">
        <f>2000/15</f>
        <v>133.3333333</v>
      </c>
      <c r="K64" s="21">
        <f t="shared" si="3"/>
        <v>0</v>
      </c>
      <c r="L64" s="24">
        <f t="shared" si="4"/>
        <v>0</v>
      </c>
      <c r="M64" s="14">
        <f t="shared" si="5"/>
        <v>0</v>
      </c>
      <c r="N64" s="14">
        <f t="shared" si="6"/>
        <v>0</v>
      </c>
      <c r="O64" s="14">
        <f t="shared" si="7"/>
        <v>0</v>
      </c>
    </row>
    <row r="65">
      <c r="A65" s="34" t="s">
        <v>118</v>
      </c>
      <c r="B65" s="20">
        <f t="shared" si="13"/>
        <v>0</v>
      </c>
      <c r="C65" s="20">
        <f t="shared" si="12"/>
        <v>0</v>
      </c>
      <c r="D65" s="21">
        <v>14.24</v>
      </c>
      <c r="E65" s="21">
        <v>14.24</v>
      </c>
      <c r="F65" s="21">
        <v>14.24</v>
      </c>
      <c r="G65" s="21">
        <v>14.24</v>
      </c>
      <c r="H65" s="21" t="s">
        <v>67</v>
      </c>
      <c r="I65" s="22" t="s">
        <v>119</v>
      </c>
      <c r="J65" s="38">
        <v>12.7</v>
      </c>
      <c r="K65" s="21">
        <f t="shared" si="3"/>
        <v>1.121259843</v>
      </c>
      <c r="L65" s="24">
        <f t="shared" si="4"/>
        <v>8.97007874</v>
      </c>
      <c r="M65" s="14">
        <f t="shared" si="5"/>
        <v>0.5606299213</v>
      </c>
      <c r="N65" s="14">
        <f t="shared" si="6"/>
        <v>0.1868766404</v>
      </c>
      <c r="O65" s="14">
        <f t="shared" si="7"/>
        <v>0.03955130928</v>
      </c>
    </row>
    <row r="66">
      <c r="A66" s="42" t="s">
        <v>120</v>
      </c>
      <c r="B66" s="20">
        <f t="shared" si="13"/>
        <v>0</v>
      </c>
      <c r="C66" s="20">
        <f t="shared" si="12"/>
        <v>0</v>
      </c>
      <c r="D66" s="21">
        <v>55.0</v>
      </c>
      <c r="E66" s="21">
        <v>55.0</v>
      </c>
      <c r="F66" s="21">
        <v>55.0</v>
      </c>
      <c r="G66" s="21">
        <v>55.0</v>
      </c>
      <c r="H66" s="21" t="s">
        <v>121</v>
      </c>
      <c r="I66" s="22" t="s">
        <v>122</v>
      </c>
      <c r="J66" s="23">
        <v>512.0</v>
      </c>
      <c r="K66" s="21">
        <f t="shared" si="3"/>
        <v>0.107421875</v>
      </c>
      <c r="L66" s="24">
        <f t="shared" si="4"/>
        <v>0.859375</v>
      </c>
      <c r="M66" s="14">
        <f t="shared" si="5"/>
        <v>0.0537109375</v>
      </c>
      <c r="N66" s="14">
        <f t="shared" si="6"/>
        <v>0.01790364583</v>
      </c>
      <c r="O66" s="14">
        <f t="shared" si="7"/>
        <v>0.003789198222</v>
      </c>
    </row>
    <row r="67">
      <c r="A67" s="34"/>
      <c r="B67" s="20"/>
      <c r="C67" s="20"/>
      <c r="D67" s="21"/>
      <c r="E67" s="21"/>
      <c r="F67" s="21"/>
      <c r="G67" s="24"/>
      <c r="H67" s="21"/>
      <c r="I67" s="22"/>
      <c r="J67" s="23"/>
      <c r="K67" s="21"/>
      <c r="L67" s="24"/>
      <c r="M67" s="14"/>
      <c r="N67" s="14"/>
      <c r="O67" s="14"/>
    </row>
    <row r="68">
      <c r="A68" s="43" t="s">
        <v>18</v>
      </c>
      <c r="B68" s="44"/>
      <c r="C68" s="44"/>
      <c r="D68" s="45"/>
      <c r="E68" s="45"/>
      <c r="F68" s="45"/>
      <c r="G68" s="46"/>
      <c r="H68" s="45"/>
      <c r="I68" s="47"/>
      <c r="J68" s="48"/>
      <c r="K68" s="45"/>
      <c r="L68" s="46"/>
      <c r="M68" s="49"/>
      <c r="N68" s="49"/>
      <c r="O68" s="49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</row>
    <row r="69">
      <c r="A69" s="15" t="s">
        <v>123</v>
      </c>
      <c r="B69" s="20"/>
      <c r="C69" s="20"/>
      <c r="D69" s="24"/>
      <c r="E69" s="24"/>
      <c r="F69" s="24"/>
      <c r="G69" s="24"/>
      <c r="H69" s="24"/>
      <c r="I69" s="18"/>
      <c r="J69" s="19"/>
      <c r="K69" s="21"/>
      <c r="L69" s="24"/>
      <c r="M69" s="14"/>
      <c r="N69" s="14"/>
      <c r="O69" s="14"/>
    </row>
    <row r="70">
      <c r="A70" s="26" t="s">
        <v>124</v>
      </c>
      <c r="B70" s="27">
        <f t="shared" ref="B70:B136" si="16">((E70-D70)/D70)</f>
        <v>0</v>
      </c>
      <c r="C70" s="27"/>
      <c r="D70" s="28">
        <v>2.5</v>
      </c>
      <c r="E70" s="28">
        <v>2.5</v>
      </c>
      <c r="F70" s="28">
        <v>2.5</v>
      </c>
      <c r="G70" s="31"/>
      <c r="H70" s="28" t="s">
        <v>21</v>
      </c>
      <c r="I70" s="29">
        <v>1.0</v>
      </c>
      <c r="J70" s="30">
        <v>1.0</v>
      </c>
      <c r="K70" s="28">
        <f t="shared" ref="K70:K79" si="17">G70/J70</f>
        <v>0</v>
      </c>
      <c r="L70" s="31">
        <f t="shared" ref="L70:L136" si="18">K70*8</f>
        <v>0</v>
      </c>
      <c r="M70" s="32">
        <f t="shared" ref="M70:M136" si="19">L70/16</f>
        <v>0</v>
      </c>
      <c r="N70" s="32">
        <f t="shared" ref="N70:N136" si="20">M70/3</f>
        <v>0</v>
      </c>
      <c r="O70" s="32">
        <f t="shared" ref="O70:O136" si="21">K70/28.3495</f>
        <v>0</v>
      </c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</row>
    <row r="71">
      <c r="A71" s="41" t="s">
        <v>125</v>
      </c>
      <c r="B71" s="20">
        <f t="shared" si="16"/>
        <v>0</v>
      </c>
      <c r="C71" s="20">
        <f t="shared" ref="C71:C77" si="22">((G71-F71)/F71)</f>
        <v>-0.03855421687</v>
      </c>
      <c r="D71" s="21">
        <v>8.3</v>
      </c>
      <c r="E71" s="21">
        <v>8.3</v>
      </c>
      <c r="F71" s="21">
        <v>8.3</v>
      </c>
      <c r="G71" s="21">
        <v>7.98</v>
      </c>
      <c r="H71" s="21" t="s">
        <v>28</v>
      </c>
      <c r="I71" s="22" t="s">
        <v>126</v>
      </c>
      <c r="J71" s="51">
        <v>31.4</v>
      </c>
      <c r="K71" s="21">
        <f t="shared" si="17"/>
        <v>0.2541401274</v>
      </c>
      <c r="L71" s="24">
        <f t="shared" si="18"/>
        <v>2.033121019</v>
      </c>
      <c r="M71" s="14">
        <f t="shared" si="19"/>
        <v>0.1270700637</v>
      </c>
      <c r="N71" s="14">
        <f t="shared" si="20"/>
        <v>0.0423566879</v>
      </c>
      <c r="O71" s="14">
        <f t="shared" si="21"/>
        <v>0.008964536496</v>
      </c>
    </row>
    <row r="72">
      <c r="A72" s="41" t="s">
        <v>127</v>
      </c>
      <c r="B72" s="20">
        <f t="shared" si="16"/>
        <v>0</v>
      </c>
      <c r="C72" s="20">
        <f t="shared" si="22"/>
        <v>-0.03731343284</v>
      </c>
      <c r="D72" s="21">
        <v>2.68</v>
      </c>
      <c r="E72" s="21">
        <v>2.68</v>
      </c>
      <c r="F72" s="21">
        <v>2.68</v>
      </c>
      <c r="G72" s="21">
        <v>2.58</v>
      </c>
      <c r="H72" s="21" t="s">
        <v>28</v>
      </c>
      <c r="I72" s="22" t="s">
        <v>128</v>
      </c>
      <c r="J72" s="51">
        <v>17.3</v>
      </c>
      <c r="K72" s="21">
        <f t="shared" si="17"/>
        <v>0.149132948</v>
      </c>
      <c r="L72" s="24">
        <f t="shared" si="18"/>
        <v>1.193063584</v>
      </c>
      <c r="M72" s="14">
        <f t="shared" si="19"/>
        <v>0.07456647399</v>
      </c>
      <c r="N72" s="14">
        <f t="shared" si="20"/>
        <v>0.02485549133</v>
      </c>
      <c r="O72" s="14">
        <f t="shared" si="21"/>
        <v>0.005260514223</v>
      </c>
    </row>
    <row r="73">
      <c r="A73" s="6" t="s">
        <v>129</v>
      </c>
      <c r="B73" s="20">
        <f t="shared" si="16"/>
        <v>0</v>
      </c>
      <c r="C73" s="20">
        <f t="shared" si="22"/>
        <v>-0.038647343</v>
      </c>
      <c r="D73" s="21">
        <v>4.14</v>
      </c>
      <c r="E73" s="21">
        <v>4.14</v>
      </c>
      <c r="F73" s="21">
        <v>4.14</v>
      </c>
      <c r="G73" s="21">
        <v>3.98</v>
      </c>
      <c r="H73" s="21" t="s">
        <v>28</v>
      </c>
      <c r="I73" s="22" t="s">
        <v>130</v>
      </c>
      <c r="J73" s="23">
        <v>12.0</v>
      </c>
      <c r="K73" s="21">
        <f t="shared" si="17"/>
        <v>0.3316666667</v>
      </c>
      <c r="L73" s="24">
        <f t="shared" si="18"/>
        <v>2.653333333</v>
      </c>
      <c r="M73" s="14">
        <f t="shared" si="19"/>
        <v>0.1658333333</v>
      </c>
      <c r="N73" s="14">
        <f t="shared" si="20"/>
        <v>0.05527777778</v>
      </c>
      <c r="O73" s="14">
        <f t="shared" si="21"/>
        <v>0.01169920692</v>
      </c>
    </row>
    <row r="74">
      <c r="A74" s="34" t="s">
        <v>131</v>
      </c>
      <c r="B74" s="20">
        <f t="shared" si="16"/>
        <v>-0.06459330144</v>
      </c>
      <c r="C74" s="20">
        <f t="shared" si="22"/>
        <v>0.01534526854</v>
      </c>
      <c r="D74" s="21">
        <v>4.18</v>
      </c>
      <c r="E74" s="21">
        <v>3.91</v>
      </c>
      <c r="F74" s="21">
        <v>3.91</v>
      </c>
      <c r="G74" s="21">
        <v>3.97</v>
      </c>
      <c r="H74" s="21" t="s">
        <v>28</v>
      </c>
      <c r="I74" s="22" t="s">
        <v>132</v>
      </c>
      <c r="J74" s="23">
        <v>6.0</v>
      </c>
      <c r="K74" s="21">
        <f t="shared" si="17"/>
        <v>0.6616666667</v>
      </c>
      <c r="L74" s="24">
        <f t="shared" si="18"/>
        <v>5.293333333</v>
      </c>
      <c r="M74" s="14">
        <f t="shared" si="19"/>
        <v>0.3308333333</v>
      </c>
      <c r="N74" s="14">
        <f t="shared" si="20"/>
        <v>0.1102777778</v>
      </c>
      <c r="O74" s="14">
        <f t="shared" si="21"/>
        <v>0.02333962386</v>
      </c>
    </row>
    <row r="75">
      <c r="A75" s="34" t="s">
        <v>133</v>
      </c>
      <c r="B75" s="20">
        <f t="shared" si="16"/>
        <v>-0.06459330144</v>
      </c>
      <c r="C75" s="20">
        <f t="shared" si="22"/>
        <v>0.01534526854</v>
      </c>
      <c r="D75" s="21">
        <v>4.18</v>
      </c>
      <c r="E75" s="21">
        <v>3.91</v>
      </c>
      <c r="F75" s="21">
        <v>3.91</v>
      </c>
      <c r="G75" s="21">
        <v>3.97</v>
      </c>
      <c r="H75" s="21" t="s">
        <v>28</v>
      </c>
      <c r="I75" s="22" t="s">
        <v>132</v>
      </c>
      <c r="J75" s="23">
        <v>6.0</v>
      </c>
      <c r="K75" s="21">
        <f t="shared" si="17"/>
        <v>0.6616666667</v>
      </c>
      <c r="L75" s="24">
        <f t="shared" si="18"/>
        <v>5.293333333</v>
      </c>
      <c r="M75" s="14">
        <f t="shared" si="19"/>
        <v>0.3308333333</v>
      </c>
      <c r="N75" s="14">
        <f t="shared" si="20"/>
        <v>0.1102777778</v>
      </c>
      <c r="O75" s="14">
        <f t="shared" si="21"/>
        <v>0.02333962386</v>
      </c>
    </row>
    <row r="76">
      <c r="A76" s="52" t="s">
        <v>134</v>
      </c>
      <c r="B76" s="20">
        <f t="shared" si="16"/>
        <v>-0.1690821256</v>
      </c>
      <c r="C76" s="20">
        <f t="shared" si="22"/>
        <v>0.04069767442</v>
      </c>
      <c r="D76" s="21">
        <v>2.07</v>
      </c>
      <c r="E76" s="21">
        <v>1.72</v>
      </c>
      <c r="F76" s="21">
        <v>1.72</v>
      </c>
      <c r="G76" s="21">
        <v>1.79</v>
      </c>
      <c r="H76" s="21" t="s">
        <v>28</v>
      </c>
      <c r="I76" s="22" t="s">
        <v>135</v>
      </c>
      <c r="J76" s="23">
        <v>10.0</v>
      </c>
      <c r="K76" s="21">
        <f t="shared" si="17"/>
        <v>0.179</v>
      </c>
      <c r="L76" s="24">
        <f t="shared" si="18"/>
        <v>1.432</v>
      </c>
      <c r="M76" s="14">
        <f t="shared" si="19"/>
        <v>0.0895</v>
      </c>
      <c r="N76" s="14">
        <f t="shared" si="20"/>
        <v>0.02983333333</v>
      </c>
      <c r="O76" s="14">
        <f t="shared" si="21"/>
        <v>0.006314044339</v>
      </c>
    </row>
    <row r="77">
      <c r="A77" s="52" t="s">
        <v>136</v>
      </c>
      <c r="B77" s="20">
        <f t="shared" si="16"/>
        <v>0.2043189369</v>
      </c>
      <c r="C77" s="20">
        <f t="shared" si="22"/>
        <v>0</v>
      </c>
      <c r="D77" s="21">
        <v>6.02</v>
      </c>
      <c r="E77" s="21">
        <v>7.25</v>
      </c>
      <c r="F77" s="21">
        <v>6.97</v>
      </c>
      <c r="G77" s="21">
        <v>6.97</v>
      </c>
      <c r="H77" s="21" t="s">
        <v>28</v>
      </c>
      <c r="I77" s="22" t="s">
        <v>39</v>
      </c>
      <c r="J77" s="23">
        <v>32.0</v>
      </c>
      <c r="K77" s="21">
        <f t="shared" si="17"/>
        <v>0.2178125</v>
      </c>
      <c r="L77" s="24">
        <f t="shared" si="18"/>
        <v>1.7425</v>
      </c>
      <c r="M77" s="14">
        <f t="shared" si="19"/>
        <v>0.10890625</v>
      </c>
      <c r="N77" s="14">
        <f t="shared" si="20"/>
        <v>0.03630208333</v>
      </c>
      <c r="O77" s="14">
        <f t="shared" si="21"/>
        <v>0.007683116104</v>
      </c>
    </row>
    <row r="78">
      <c r="A78" s="37" t="s">
        <v>137</v>
      </c>
      <c r="B78" s="27">
        <f t="shared" si="16"/>
        <v>0</v>
      </c>
      <c r="C78" s="27"/>
      <c r="D78" s="28">
        <v>3.11</v>
      </c>
      <c r="E78" s="28">
        <v>3.11</v>
      </c>
      <c r="F78" s="28">
        <v>3.11</v>
      </c>
      <c r="G78" s="31"/>
      <c r="H78" s="28" t="s">
        <v>28</v>
      </c>
      <c r="I78" s="29" t="s">
        <v>138</v>
      </c>
      <c r="J78" s="30">
        <v>6.0</v>
      </c>
      <c r="K78" s="28">
        <f t="shared" si="17"/>
        <v>0</v>
      </c>
      <c r="L78" s="31">
        <f t="shared" si="18"/>
        <v>0</v>
      </c>
      <c r="M78" s="32">
        <f t="shared" si="19"/>
        <v>0</v>
      </c>
      <c r="N78" s="32">
        <f t="shared" si="20"/>
        <v>0</v>
      </c>
      <c r="O78" s="32">
        <f t="shared" si="21"/>
        <v>0</v>
      </c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</row>
    <row r="79">
      <c r="A79" s="6" t="s">
        <v>139</v>
      </c>
      <c r="B79" s="20">
        <f t="shared" si="16"/>
        <v>-0.04766269478</v>
      </c>
      <c r="C79" s="20">
        <f t="shared" ref="C79:C80" si="23">((G79-F79)/F79)</f>
        <v>-0.0384985563</v>
      </c>
      <c r="D79" s="21">
        <v>10.91</v>
      </c>
      <c r="E79" s="21">
        <v>10.39</v>
      </c>
      <c r="F79" s="21">
        <v>10.39</v>
      </c>
      <c r="G79" s="21">
        <v>9.99</v>
      </c>
      <c r="H79" s="21" t="s">
        <v>28</v>
      </c>
      <c r="I79" s="22" t="s">
        <v>140</v>
      </c>
      <c r="J79" s="23">
        <v>42.0</v>
      </c>
      <c r="K79" s="21">
        <f t="shared" si="17"/>
        <v>0.2378571429</v>
      </c>
      <c r="L79" s="24">
        <f t="shared" si="18"/>
        <v>1.902857143</v>
      </c>
      <c r="M79" s="14">
        <f t="shared" si="19"/>
        <v>0.1189285714</v>
      </c>
      <c r="N79" s="14">
        <f t="shared" si="20"/>
        <v>0.03964285714</v>
      </c>
      <c r="O79" s="14">
        <f t="shared" si="21"/>
        <v>0.008390170651</v>
      </c>
    </row>
    <row r="80">
      <c r="A80" s="34" t="s">
        <v>141</v>
      </c>
      <c r="B80" s="20">
        <f t="shared" si="16"/>
        <v>-0.04534606205</v>
      </c>
      <c r="C80" s="20">
        <f t="shared" si="23"/>
        <v>-0.07142857143</v>
      </c>
      <c r="D80" s="21">
        <v>0.2933</v>
      </c>
      <c r="E80" s="21">
        <v>0.28</v>
      </c>
      <c r="F80" s="21">
        <v>0.28</v>
      </c>
      <c r="G80" s="21">
        <v>0.26</v>
      </c>
      <c r="H80" s="21" t="s">
        <v>28</v>
      </c>
      <c r="I80" s="22">
        <v>1.0</v>
      </c>
      <c r="J80" s="23">
        <v>0.0</v>
      </c>
      <c r="K80" s="21">
        <v>1.0</v>
      </c>
      <c r="L80" s="24">
        <f t="shared" si="18"/>
        <v>8</v>
      </c>
      <c r="M80" s="14">
        <f t="shared" si="19"/>
        <v>0.5</v>
      </c>
      <c r="N80" s="14">
        <f t="shared" si="20"/>
        <v>0.1666666667</v>
      </c>
      <c r="O80" s="14">
        <f t="shared" si="21"/>
        <v>0.03527399072</v>
      </c>
    </row>
    <row r="81">
      <c r="A81" s="26" t="s">
        <v>142</v>
      </c>
      <c r="B81" s="27">
        <f t="shared" si="16"/>
        <v>0.3841463415</v>
      </c>
      <c r="C81" s="27"/>
      <c r="D81" s="28">
        <v>1.64</v>
      </c>
      <c r="E81" s="28">
        <v>2.27</v>
      </c>
      <c r="F81" s="28">
        <v>2.27</v>
      </c>
      <c r="G81" s="31"/>
      <c r="H81" s="28" t="s">
        <v>28</v>
      </c>
      <c r="I81" s="29" t="s">
        <v>143</v>
      </c>
      <c r="J81" s="30">
        <v>10.0</v>
      </c>
      <c r="K81" s="28">
        <f t="shared" ref="K81:K136" si="24">G81/J81</f>
        <v>0</v>
      </c>
      <c r="L81" s="31">
        <f t="shared" si="18"/>
        <v>0</v>
      </c>
      <c r="M81" s="32">
        <f t="shared" si="19"/>
        <v>0</v>
      </c>
      <c r="N81" s="32">
        <f t="shared" si="20"/>
        <v>0</v>
      </c>
      <c r="O81" s="32">
        <f t="shared" si="21"/>
        <v>0</v>
      </c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</row>
    <row r="82">
      <c r="A82" s="6" t="s">
        <v>144</v>
      </c>
      <c r="B82" s="20">
        <f t="shared" si="16"/>
        <v>0</v>
      </c>
      <c r="C82" s="20">
        <f t="shared" ref="C82:C83" si="25">((G82-F82)/F82)</f>
        <v>-0.05017921147</v>
      </c>
      <c r="D82" s="21">
        <v>2.79</v>
      </c>
      <c r="E82" s="21">
        <v>2.79</v>
      </c>
      <c r="F82" s="21">
        <v>2.79</v>
      </c>
      <c r="G82" s="21">
        <v>2.65</v>
      </c>
      <c r="H82" s="21" t="s">
        <v>28</v>
      </c>
      <c r="I82" s="22" t="s">
        <v>145</v>
      </c>
      <c r="J82" s="23">
        <v>24.0</v>
      </c>
      <c r="K82" s="21">
        <f t="shared" si="24"/>
        <v>0.1104166667</v>
      </c>
      <c r="L82" s="24">
        <f t="shared" si="18"/>
        <v>0.8833333333</v>
      </c>
      <c r="M82" s="14">
        <f t="shared" si="19"/>
        <v>0.05520833333</v>
      </c>
      <c r="N82" s="14">
        <f t="shared" si="20"/>
        <v>0.01840277778</v>
      </c>
      <c r="O82" s="14">
        <f t="shared" si="21"/>
        <v>0.003894836476</v>
      </c>
    </row>
    <row r="83">
      <c r="A83" s="6" t="s">
        <v>146</v>
      </c>
      <c r="B83" s="20">
        <f t="shared" si="16"/>
        <v>0</v>
      </c>
      <c r="C83" s="20">
        <f t="shared" si="25"/>
        <v>0</v>
      </c>
      <c r="D83" s="21">
        <v>4.14</v>
      </c>
      <c r="E83" s="21">
        <v>4.14</v>
      </c>
      <c r="F83" s="21">
        <v>2.19</v>
      </c>
      <c r="G83" s="21">
        <v>2.19</v>
      </c>
      <c r="H83" s="21" t="s">
        <v>28</v>
      </c>
      <c r="I83" s="22" t="s">
        <v>147</v>
      </c>
      <c r="J83" s="38">
        <v>6.5</v>
      </c>
      <c r="K83" s="21">
        <f t="shared" si="24"/>
        <v>0.3369230769</v>
      </c>
      <c r="L83" s="24">
        <f t="shared" si="18"/>
        <v>2.695384615</v>
      </c>
      <c r="M83" s="14">
        <f t="shared" si="19"/>
        <v>0.1684615385</v>
      </c>
      <c r="N83" s="14">
        <f t="shared" si="20"/>
        <v>0.05615384615</v>
      </c>
      <c r="O83" s="14">
        <f t="shared" si="21"/>
        <v>0.01188462149</v>
      </c>
    </row>
    <row r="84">
      <c r="A84" s="26" t="s">
        <v>148</v>
      </c>
      <c r="B84" s="27">
        <f t="shared" si="16"/>
        <v>0</v>
      </c>
      <c r="C84" s="27"/>
      <c r="D84" s="28">
        <v>4.14</v>
      </c>
      <c r="E84" s="28">
        <v>4.14</v>
      </c>
      <c r="F84" s="28">
        <v>4.14</v>
      </c>
      <c r="G84" s="31"/>
      <c r="H84" s="28" t="s">
        <v>28</v>
      </c>
      <c r="I84" s="29" t="s">
        <v>149</v>
      </c>
      <c r="J84" s="30">
        <v>6.5</v>
      </c>
      <c r="K84" s="28">
        <f t="shared" si="24"/>
        <v>0</v>
      </c>
      <c r="L84" s="31">
        <f t="shared" si="18"/>
        <v>0</v>
      </c>
      <c r="M84" s="32">
        <f t="shared" si="19"/>
        <v>0</v>
      </c>
      <c r="N84" s="32">
        <f t="shared" si="20"/>
        <v>0</v>
      </c>
      <c r="O84" s="32">
        <f t="shared" si="21"/>
        <v>0</v>
      </c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</row>
    <row r="85">
      <c r="A85" s="6" t="s">
        <v>150</v>
      </c>
      <c r="B85" s="20">
        <f t="shared" si="16"/>
        <v>0.01746724891</v>
      </c>
      <c r="C85" s="20">
        <f t="shared" ref="C85:C96" si="26">((G85-F85)/F85)</f>
        <v>-0.03862660944</v>
      </c>
      <c r="D85" s="21">
        <v>4.58</v>
      </c>
      <c r="E85" s="21">
        <v>4.66</v>
      </c>
      <c r="F85" s="21">
        <v>4.66</v>
      </c>
      <c r="G85" s="21">
        <v>4.48</v>
      </c>
      <c r="H85" s="21" t="s">
        <v>28</v>
      </c>
      <c r="I85" s="22" t="s">
        <v>151</v>
      </c>
      <c r="J85" s="23">
        <v>30.0</v>
      </c>
      <c r="K85" s="21">
        <f t="shared" si="24"/>
        <v>0.1493333333</v>
      </c>
      <c r="L85" s="24">
        <f t="shared" si="18"/>
        <v>1.194666667</v>
      </c>
      <c r="M85" s="14">
        <f t="shared" si="19"/>
        <v>0.07466666667</v>
      </c>
      <c r="N85" s="14">
        <f t="shared" si="20"/>
        <v>0.02488888889</v>
      </c>
      <c r="O85" s="14">
        <f t="shared" si="21"/>
        <v>0.005267582615</v>
      </c>
    </row>
    <row r="86">
      <c r="A86" s="6" t="s">
        <v>152</v>
      </c>
      <c r="B86" s="20">
        <f t="shared" si="16"/>
        <v>0</v>
      </c>
      <c r="C86" s="20">
        <f t="shared" si="26"/>
        <v>-0.1838235294</v>
      </c>
      <c r="D86" s="21">
        <v>2.72</v>
      </c>
      <c r="E86" s="21">
        <v>2.72</v>
      </c>
      <c r="F86" s="21">
        <v>2.72</v>
      </c>
      <c r="G86" s="21">
        <v>2.22</v>
      </c>
      <c r="H86" s="21" t="s">
        <v>28</v>
      </c>
      <c r="I86" s="22" t="s">
        <v>153</v>
      </c>
      <c r="J86" s="23">
        <v>15.0</v>
      </c>
      <c r="K86" s="21">
        <f t="shared" si="24"/>
        <v>0.148</v>
      </c>
      <c r="L86" s="24">
        <f t="shared" si="18"/>
        <v>1.184</v>
      </c>
      <c r="M86" s="14">
        <f t="shared" si="19"/>
        <v>0.074</v>
      </c>
      <c r="N86" s="14">
        <f t="shared" si="20"/>
        <v>0.02466666667</v>
      </c>
      <c r="O86" s="14">
        <f t="shared" si="21"/>
        <v>0.005220550627</v>
      </c>
    </row>
    <row r="87">
      <c r="A87" s="6" t="s">
        <v>154</v>
      </c>
      <c r="B87" s="20">
        <f t="shared" si="16"/>
        <v>-0.2144388849</v>
      </c>
      <c r="C87" s="20">
        <f t="shared" si="26"/>
        <v>0.2729754322</v>
      </c>
      <c r="D87" s="21">
        <v>13.99</v>
      </c>
      <c r="E87" s="21">
        <v>10.99</v>
      </c>
      <c r="F87" s="21">
        <v>10.99</v>
      </c>
      <c r="G87" s="21">
        <v>13.99</v>
      </c>
      <c r="H87" s="21" t="s">
        <v>155</v>
      </c>
      <c r="I87" s="22" t="s">
        <v>156</v>
      </c>
      <c r="J87" s="23">
        <v>72.0</v>
      </c>
      <c r="K87" s="21">
        <f t="shared" si="24"/>
        <v>0.1943055556</v>
      </c>
      <c r="L87" s="24">
        <f t="shared" si="18"/>
        <v>1.554444444</v>
      </c>
      <c r="M87" s="14">
        <f t="shared" si="19"/>
        <v>0.09715277778</v>
      </c>
      <c r="N87" s="14">
        <f t="shared" si="20"/>
        <v>0.03238425926</v>
      </c>
      <c r="O87" s="14">
        <f t="shared" si="21"/>
        <v>0.006853932364</v>
      </c>
    </row>
    <row r="88">
      <c r="A88" s="6" t="s">
        <v>157</v>
      </c>
      <c r="B88" s="20">
        <f t="shared" si="16"/>
        <v>0</v>
      </c>
      <c r="C88" s="20">
        <f t="shared" si="26"/>
        <v>0.2193548387</v>
      </c>
      <c r="D88" s="21">
        <v>3.1</v>
      </c>
      <c r="E88" s="21">
        <v>3.1</v>
      </c>
      <c r="F88" s="21">
        <v>3.1</v>
      </c>
      <c r="G88" s="21">
        <v>3.78</v>
      </c>
      <c r="H88" s="21" t="s">
        <v>28</v>
      </c>
      <c r="I88" s="22" t="s">
        <v>158</v>
      </c>
      <c r="J88" s="23">
        <v>8.0</v>
      </c>
      <c r="K88" s="21">
        <f t="shared" si="24"/>
        <v>0.4725</v>
      </c>
      <c r="L88" s="24">
        <f t="shared" si="18"/>
        <v>3.78</v>
      </c>
      <c r="M88" s="14">
        <f t="shared" si="19"/>
        <v>0.23625</v>
      </c>
      <c r="N88" s="14">
        <f t="shared" si="20"/>
        <v>0.07875</v>
      </c>
      <c r="O88" s="14">
        <f t="shared" si="21"/>
        <v>0.01666696062</v>
      </c>
    </row>
    <row r="89">
      <c r="A89" s="6" t="s">
        <v>159</v>
      </c>
      <c r="B89" s="20">
        <f t="shared" si="16"/>
        <v>0.4911242604</v>
      </c>
      <c r="C89" s="20">
        <f t="shared" si="26"/>
        <v>-0.03968253968</v>
      </c>
      <c r="D89" s="21">
        <v>1.69</v>
      </c>
      <c r="E89" s="21">
        <v>2.52</v>
      </c>
      <c r="F89" s="21">
        <v>2.52</v>
      </c>
      <c r="G89" s="21">
        <v>2.42</v>
      </c>
      <c r="H89" s="21" t="s">
        <v>28</v>
      </c>
      <c r="I89" s="22" t="s">
        <v>160</v>
      </c>
      <c r="J89" s="23">
        <v>32.0</v>
      </c>
      <c r="K89" s="21">
        <f t="shared" si="24"/>
        <v>0.075625</v>
      </c>
      <c r="L89" s="24">
        <f t="shared" si="18"/>
        <v>0.605</v>
      </c>
      <c r="M89" s="14">
        <f t="shared" si="19"/>
        <v>0.0378125</v>
      </c>
      <c r="N89" s="14">
        <f t="shared" si="20"/>
        <v>0.01260416667</v>
      </c>
      <c r="O89" s="14">
        <f t="shared" si="21"/>
        <v>0.002667595548</v>
      </c>
    </row>
    <row r="90">
      <c r="A90" s="6" t="s">
        <v>161</v>
      </c>
      <c r="B90" s="20">
        <f t="shared" si="16"/>
        <v>0.1923076923</v>
      </c>
      <c r="C90" s="20">
        <f t="shared" si="26"/>
        <v>0.1152073733</v>
      </c>
      <c r="D90" s="21">
        <v>1.82</v>
      </c>
      <c r="E90" s="21">
        <v>2.17</v>
      </c>
      <c r="F90" s="21">
        <v>2.17</v>
      </c>
      <c r="G90" s="21">
        <v>2.42</v>
      </c>
      <c r="H90" s="21" t="s">
        <v>28</v>
      </c>
      <c r="I90" s="22" t="s">
        <v>39</v>
      </c>
      <c r="J90" s="23">
        <v>32.0</v>
      </c>
      <c r="K90" s="21">
        <f t="shared" si="24"/>
        <v>0.075625</v>
      </c>
      <c r="L90" s="24">
        <f t="shared" si="18"/>
        <v>0.605</v>
      </c>
      <c r="M90" s="14">
        <f t="shared" si="19"/>
        <v>0.0378125</v>
      </c>
      <c r="N90" s="14">
        <f t="shared" si="20"/>
        <v>0.01260416667</v>
      </c>
      <c r="O90" s="14">
        <f t="shared" si="21"/>
        <v>0.002667595548</v>
      </c>
    </row>
    <row r="91">
      <c r="A91" s="6" t="s">
        <v>162</v>
      </c>
      <c r="B91" s="20">
        <f t="shared" si="16"/>
        <v>0.554517134</v>
      </c>
      <c r="C91" s="20">
        <f t="shared" si="26"/>
        <v>-1</v>
      </c>
      <c r="D91" s="21">
        <v>16.05</v>
      </c>
      <c r="E91" s="21">
        <v>24.95</v>
      </c>
      <c r="F91" s="21">
        <v>24.95</v>
      </c>
      <c r="G91" s="24"/>
      <c r="H91" s="21" t="s">
        <v>67</v>
      </c>
      <c r="I91" s="22" t="s">
        <v>163</v>
      </c>
      <c r="J91" s="23">
        <v>88.0</v>
      </c>
      <c r="K91" s="21">
        <f t="shared" si="24"/>
        <v>0</v>
      </c>
      <c r="L91" s="24">
        <f t="shared" si="18"/>
        <v>0</v>
      </c>
      <c r="M91" s="14">
        <f t="shared" si="19"/>
        <v>0</v>
      </c>
      <c r="N91" s="14">
        <f t="shared" si="20"/>
        <v>0</v>
      </c>
      <c r="O91" s="14">
        <f t="shared" si="21"/>
        <v>0</v>
      </c>
    </row>
    <row r="92">
      <c r="A92" s="34" t="s">
        <v>164</v>
      </c>
      <c r="B92" s="20">
        <f t="shared" si="16"/>
        <v>0.04821150855</v>
      </c>
      <c r="C92" s="20">
        <f t="shared" si="26"/>
        <v>-0.1364985163</v>
      </c>
      <c r="D92" s="21">
        <v>6.43</v>
      </c>
      <c r="E92" s="21">
        <v>6.74</v>
      </c>
      <c r="F92" s="21">
        <v>6.74</v>
      </c>
      <c r="G92" s="21">
        <v>5.82</v>
      </c>
      <c r="H92" s="21" t="s">
        <v>28</v>
      </c>
      <c r="I92" s="22" t="s">
        <v>165</v>
      </c>
      <c r="J92" s="23">
        <v>18.0</v>
      </c>
      <c r="K92" s="21">
        <f t="shared" si="24"/>
        <v>0.3233333333</v>
      </c>
      <c r="L92" s="24">
        <f t="shared" si="18"/>
        <v>2.586666667</v>
      </c>
      <c r="M92" s="14">
        <f t="shared" si="19"/>
        <v>0.1616666667</v>
      </c>
      <c r="N92" s="14">
        <f t="shared" si="20"/>
        <v>0.05388888889</v>
      </c>
      <c r="O92" s="14">
        <f t="shared" si="21"/>
        <v>0.011405257</v>
      </c>
    </row>
    <row r="93">
      <c r="A93" s="6" t="s">
        <v>166</v>
      </c>
      <c r="B93" s="20">
        <f t="shared" si="16"/>
        <v>0.08011049724</v>
      </c>
      <c r="C93" s="20">
        <f t="shared" si="26"/>
        <v>0</v>
      </c>
      <c r="D93" s="21">
        <v>3.62</v>
      </c>
      <c r="E93" s="21">
        <v>3.91</v>
      </c>
      <c r="F93" s="21">
        <v>3.91</v>
      </c>
      <c r="G93" s="21">
        <v>3.91</v>
      </c>
      <c r="H93" s="21" t="s">
        <v>28</v>
      </c>
      <c r="I93" s="22" t="s">
        <v>31</v>
      </c>
      <c r="J93" s="23">
        <v>80.0</v>
      </c>
      <c r="K93" s="21">
        <f t="shared" si="24"/>
        <v>0.048875</v>
      </c>
      <c r="L93" s="24">
        <f t="shared" si="18"/>
        <v>0.391</v>
      </c>
      <c r="M93" s="14">
        <f t="shared" si="19"/>
        <v>0.0244375</v>
      </c>
      <c r="N93" s="14">
        <f t="shared" si="20"/>
        <v>0.008145833333</v>
      </c>
      <c r="O93" s="14">
        <f t="shared" si="21"/>
        <v>0.001724016297</v>
      </c>
    </row>
    <row r="94">
      <c r="A94" s="6" t="s">
        <v>167</v>
      </c>
      <c r="B94" s="20">
        <f t="shared" si="16"/>
        <v>0.2857142857</v>
      </c>
      <c r="C94" s="20">
        <f t="shared" si="26"/>
        <v>-0.03703703704</v>
      </c>
      <c r="D94" s="21">
        <v>1.68</v>
      </c>
      <c r="E94" s="21">
        <v>2.16</v>
      </c>
      <c r="F94" s="21">
        <v>2.16</v>
      </c>
      <c r="G94" s="21">
        <v>2.08</v>
      </c>
      <c r="H94" s="21" t="s">
        <v>28</v>
      </c>
      <c r="I94" s="22" t="s">
        <v>168</v>
      </c>
      <c r="J94" s="23">
        <v>8.1</v>
      </c>
      <c r="K94" s="21">
        <f t="shared" si="24"/>
        <v>0.2567901235</v>
      </c>
      <c r="L94" s="24">
        <f t="shared" si="18"/>
        <v>2.054320988</v>
      </c>
      <c r="M94" s="14">
        <f t="shared" si="19"/>
        <v>0.1283950617</v>
      </c>
      <c r="N94" s="14">
        <f t="shared" si="20"/>
        <v>0.04279835391</v>
      </c>
      <c r="O94" s="14">
        <f t="shared" si="21"/>
        <v>0.009058012433</v>
      </c>
    </row>
    <row r="95">
      <c r="A95" s="6" t="s">
        <v>169</v>
      </c>
      <c r="B95" s="20">
        <f t="shared" si="16"/>
        <v>0.1654135338</v>
      </c>
      <c r="C95" s="20">
        <f t="shared" si="26"/>
        <v>-0.03870967742</v>
      </c>
      <c r="D95" s="21">
        <v>2.66</v>
      </c>
      <c r="E95" s="21">
        <v>3.1</v>
      </c>
      <c r="F95" s="21">
        <v>3.1</v>
      </c>
      <c r="G95" s="21">
        <v>2.98</v>
      </c>
      <c r="H95" s="21" t="s">
        <v>28</v>
      </c>
      <c r="I95" s="22" t="s">
        <v>29</v>
      </c>
      <c r="J95" s="23">
        <v>64.0</v>
      </c>
      <c r="K95" s="21">
        <f t="shared" si="24"/>
        <v>0.0465625</v>
      </c>
      <c r="L95" s="24">
        <f t="shared" si="18"/>
        <v>0.3725</v>
      </c>
      <c r="M95" s="14">
        <f t="shared" si="19"/>
        <v>0.02328125</v>
      </c>
      <c r="N95" s="14">
        <f t="shared" si="20"/>
        <v>0.007760416667</v>
      </c>
      <c r="O95" s="14">
        <f t="shared" si="21"/>
        <v>0.001642445193</v>
      </c>
    </row>
    <row r="96">
      <c r="A96" s="6" t="s">
        <v>170</v>
      </c>
      <c r="B96" s="20">
        <f t="shared" si="16"/>
        <v>0.149068323</v>
      </c>
      <c r="C96" s="20">
        <f t="shared" si="26"/>
        <v>-0.1621621622</v>
      </c>
      <c r="D96" s="21">
        <v>1.61</v>
      </c>
      <c r="E96" s="21">
        <v>1.85</v>
      </c>
      <c r="F96" s="21">
        <v>1.85</v>
      </c>
      <c r="G96" s="21">
        <v>1.55</v>
      </c>
      <c r="H96" s="21" t="s">
        <v>28</v>
      </c>
      <c r="I96" s="22" t="s">
        <v>22</v>
      </c>
      <c r="J96" s="23">
        <v>16.0</v>
      </c>
      <c r="K96" s="21">
        <f t="shared" si="24"/>
        <v>0.096875</v>
      </c>
      <c r="L96" s="24">
        <f t="shared" si="18"/>
        <v>0.775</v>
      </c>
      <c r="M96" s="14">
        <f t="shared" si="19"/>
        <v>0.0484375</v>
      </c>
      <c r="N96" s="14">
        <f t="shared" si="20"/>
        <v>0.01614583333</v>
      </c>
      <c r="O96" s="14">
        <f t="shared" si="21"/>
        <v>0.003417167851</v>
      </c>
    </row>
    <row r="97">
      <c r="A97" s="53" t="s">
        <v>171</v>
      </c>
      <c r="B97" s="27">
        <f t="shared" si="16"/>
        <v>-0.3043478261</v>
      </c>
      <c r="C97" s="36">
        <v>0.0</v>
      </c>
      <c r="D97" s="28">
        <v>4.14</v>
      </c>
      <c r="E97" s="28">
        <v>2.88</v>
      </c>
      <c r="F97" s="28">
        <v>2.88</v>
      </c>
      <c r="G97" s="31"/>
      <c r="H97" s="28" t="s">
        <v>28</v>
      </c>
      <c r="I97" s="29">
        <v>32.0</v>
      </c>
      <c r="J97" s="30">
        <v>32.0</v>
      </c>
      <c r="K97" s="28">
        <f t="shared" si="24"/>
        <v>0</v>
      </c>
      <c r="L97" s="31">
        <f t="shared" si="18"/>
        <v>0</v>
      </c>
      <c r="M97" s="32">
        <f t="shared" si="19"/>
        <v>0</v>
      </c>
      <c r="N97" s="32">
        <f t="shared" si="20"/>
        <v>0</v>
      </c>
      <c r="O97" s="32">
        <f t="shared" si="21"/>
        <v>0</v>
      </c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</row>
    <row r="98">
      <c r="A98" s="34" t="s">
        <v>172</v>
      </c>
      <c r="B98" s="20">
        <f t="shared" si="16"/>
        <v>0.4255319149</v>
      </c>
      <c r="C98" s="20">
        <f t="shared" ref="C98:C106" si="27">((G98-F98)/F98)</f>
        <v>-0.0447761194</v>
      </c>
      <c r="D98" s="21">
        <v>0.47</v>
      </c>
      <c r="E98" s="21">
        <v>0.67</v>
      </c>
      <c r="F98" s="21">
        <v>0.67</v>
      </c>
      <c r="G98" s="21">
        <v>0.64</v>
      </c>
      <c r="H98" s="21" t="s">
        <v>28</v>
      </c>
      <c r="I98" s="22" t="s">
        <v>173</v>
      </c>
      <c r="J98" s="23">
        <v>26.0</v>
      </c>
      <c r="K98" s="21">
        <f t="shared" si="24"/>
        <v>0.02461538462</v>
      </c>
      <c r="L98" s="24">
        <f t="shared" si="18"/>
        <v>0.1969230769</v>
      </c>
      <c r="M98" s="14">
        <f t="shared" si="19"/>
        <v>0.01230769231</v>
      </c>
      <c r="N98" s="14">
        <f t="shared" si="20"/>
        <v>0.004102564103</v>
      </c>
      <c r="O98" s="14">
        <f t="shared" si="21"/>
        <v>0.0008682828486</v>
      </c>
    </row>
    <row r="99">
      <c r="A99" s="6" t="s">
        <v>174</v>
      </c>
      <c r="B99" s="20">
        <f t="shared" si="16"/>
        <v>0.01990049751</v>
      </c>
      <c r="C99" s="20">
        <f t="shared" si="27"/>
        <v>0.4292682927</v>
      </c>
      <c r="D99" s="21">
        <v>8.04</v>
      </c>
      <c r="E99" s="21">
        <v>8.2</v>
      </c>
      <c r="F99" s="21">
        <v>8.2</v>
      </c>
      <c r="G99" s="21">
        <v>11.72</v>
      </c>
      <c r="H99" s="21" t="s">
        <v>28</v>
      </c>
      <c r="I99" s="22" t="s">
        <v>175</v>
      </c>
      <c r="J99" s="23">
        <v>36.0</v>
      </c>
      <c r="K99" s="21">
        <f t="shared" si="24"/>
        <v>0.3255555556</v>
      </c>
      <c r="L99" s="24">
        <f t="shared" si="18"/>
        <v>2.604444444</v>
      </c>
      <c r="M99" s="14">
        <f t="shared" si="19"/>
        <v>0.1627777778</v>
      </c>
      <c r="N99" s="14">
        <f t="shared" si="20"/>
        <v>0.05425925926</v>
      </c>
      <c r="O99" s="14">
        <f t="shared" si="21"/>
        <v>0.01148364365</v>
      </c>
    </row>
    <row r="100">
      <c r="A100" s="25" t="s">
        <v>176</v>
      </c>
      <c r="B100" s="20">
        <f t="shared" si="16"/>
        <v>-0.03944315545</v>
      </c>
      <c r="C100" s="20">
        <f t="shared" si="27"/>
        <v>0.1400966184</v>
      </c>
      <c r="D100" s="21">
        <v>4.31</v>
      </c>
      <c r="E100" s="21">
        <v>4.14</v>
      </c>
      <c r="F100" s="21">
        <v>4.14</v>
      </c>
      <c r="G100" s="21">
        <v>4.72</v>
      </c>
      <c r="H100" s="21" t="s">
        <v>28</v>
      </c>
      <c r="I100" s="22" t="s">
        <v>39</v>
      </c>
      <c r="J100" s="23">
        <v>32.0</v>
      </c>
      <c r="K100" s="21">
        <f t="shared" si="24"/>
        <v>0.1475</v>
      </c>
      <c r="L100" s="24">
        <f t="shared" si="18"/>
        <v>1.18</v>
      </c>
      <c r="M100" s="14">
        <f t="shared" si="19"/>
        <v>0.07375</v>
      </c>
      <c r="N100" s="14">
        <f t="shared" si="20"/>
        <v>0.02458333333</v>
      </c>
      <c r="O100" s="14">
        <f t="shared" si="21"/>
        <v>0.005202913632</v>
      </c>
    </row>
    <row r="101">
      <c r="A101" s="34" t="s">
        <v>177</v>
      </c>
      <c r="B101" s="20">
        <f t="shared" si="16"/>
        <v>0.04008016032</v>
      </c>
      <c r="C101" s="20">
        <f t="shared" si="27"/>
        <v>0.05780346821</v>
      </c>
      <c r="D101" s="21">
        <v>4.99</v>
      </c>
      <c r="E101" s="21">
        <v>5.19</v>
      </c>
      <c r="F101" s="21">
        <v>5.19</v>
      </c>
      <c r="G101" s="21">
        <v>5.49</v>
      </c>
      <c r="H101" s="21" t="s">
        <v>28</v>
      </c>
      <c r="I101" s="22" t="s">
        <v>178</v>
      </c>
      <c r="J101" s="23">
        <v>13.0</v>
      </c>
      <c r="K101" s="21">
        <f t="shared" si="24"/>
        <v>0.4223076923</v>
      </c>
      <c r="L101" s="24">
        <f t="shared" si="18"/>
        <v>3.378461538</v>
      </c>
      <c r="M101" s="14">
        <f t="shared" si="19"/>
        <v>0.2111538462</v>
      </c>
      <c r="N101" s="14">
        <f t="shared" si="20"/>
        <v>0.07038461538</v>
      </c>
      <c r="O101" s="14">
        <f t="shared" si="21"/>
        <v>0.01489647762</v>
      </c>
    </row>
    <row r="102">
      <c r="A102" s="6" t="s">
        <v>179</v>
      </c>
      <c r="B102" s="20">
        <f t="shared" si="16"/>
        <v>-0.1690821256</v>
      </c>
      <c r="C102" s="20">
        <f t="shared" si="27"/>
        <v>0.04069767442</v>
      </c>
      <c r="D102" s="21">
        <v>2.07</v>
      </c>
      <c r="E102" s="21">
        <v>1.72</v>
      </c>
      <c r="F102" s="21">
        <v>1.72</v>
      </c>
      <c r="G102" s="21">
        <v>1.79</v>
      </c>
      <c r="H102" s="21" t="s">
        <v>28</v>
      </c>
      <c r="I102" s="22" t="s">
        <v>135</v>
      </c>
      <c r="J102" s="23">
        <v>10.0</v>
      </c>
      <c r="K102" s="21">
        <f t="shared" si="24"/>
        <v>0.179</v>
      </c>
      <c r="L102" s="24">
        <f t="shared" si="18"/>
        <v>1.432</v>
      </c>
      <c r="M102" s="14">
        <f t="shared" si="19"/>
        <v>0.0895</v>
      </c>
      <c r="N102" s="14">
        <f t="shared" si="20"/>
        <v>0.02983333333</v>
      </c>
      <c r="O102" s="14">
        <f t="shared" si="21"/>
        <v>0.006314044339</v>
      </c>
    </row>
    <row r="103">
      <c r="A103" s="6" t="s">
        <v>180</v>
      </c>
      <c r="B103" s="20">
        <f t="shared" si="16"/>
        <v>0</v>
      </c>
      <c r="C103" s="20">
        <f t="shared" si="27"/>
        <v>-0.03867403315</v>
      </c>
      <c r="D103" s="21">
        <v>7.24</v>
      </c>
      <c r="E103" s="21">
        <v>7.24</v>
      </c>
      <c r="F103" s="21">
        <v>7.24</v>
      </c>
      <c r="G103" s="21">
        <v>6.96</v>
      </c>
      <c r="H103" s="21" t="s">
        <v>28</v>
      </c>
      <c r="I103" s="22">
        <v>12.0</v>
      </c>
      <c r="J103" s="23">
        <v>32.0</v>
      </c>
      <c r="K103" s="21">
        <f t="shared" si="24"/>
        <v>0.2175</v>
      </c>
      <c r="L103" s="24">
        <f t="shared" si="18"/>
        <v>1.74</v>
      </c>
      <c r="M103" s="14">
        <f t="shared" si="19"/>
        <v>0.10875</v>
      </c>
      <c r="N103" s="14">
        <f t="shared" si="20"/>
        <v>0.03625</v>
      </c>
      <c r="O103" s="14">
        <f t="shared" si="21"/>
        <v>0.007672092982</v>
      </c>
    </row>
    <row r="104">
      <c r="A104" s="6" t="s">
        <v>181</v>
      </c>
      <c r="B104" s="20">
        <f t="shared" si="16"/>
        <v>0.08360128617</v>
      </c>
      <c r="C104" s="20">
        <f t="shared" si="27"/>
        <v>0.03635014837</v>
      </c>
      <c r="D104" s="21">
        <v>12.44</v>
      </c>
      <c r="E104" s="21">
        <v>13.48</v>
      </c>
      <c r="F104" s="21">
        <v>13.48</v>
      </c>
      <c r="G104" s="21">
        <v>13.97</v>
      </c>
      <c r="H104" s="21" t="s">
        <v>28</v>
      </c>
      <c r="I104" s="22">
        <v>12.0</v>
      </c>
      <c r="J104" s="23">
        <v>12.0</v>
      </c>
      <c r="K104" s="21">
        <f t="shared" si="24"/>
        <v>1.164166667</v>
      </c>
      <c r="L104" s="24">
        <f t="shared" si="18"/>
        <v>9.313333333</v>
      </c>
      <c r="M104" s="14">
        <f t="shared" si="19"/>
        <v>0.5820833333</v>
      </c>
      <c r="N104" s="14">
        <f t="shared" si="20"/>
        <v>0.1940277778</v>
      </c>
      <c r="O104" s="14">
        <f t="shared" si="21"/>
        <v>0.0410648042</v>
      </c>
    </row>
    <row r="105">
      <c r="A105" s="34" t="s">
        <v>182</v>
      </c>
      <c r="B105" s="20">
        <f t="shared" si="16"/>
        <v>0.1068376068</v>
      </c>
      <c r="C105" s="20">
        <f t="shared" si="27"/>
        <v>0</v>
      </c>
      <c r="D105" s="21">
        <v>2.34</v>
      </c>
      <c r="E105" s="21">
        <v>2.59</v>
      </c>
      <c r="F105" s="21">
        <v>6.79</v>
      </c>
      <c r="G105" s="21">
        <v>6.79</v>
      </c>
      <c r="H105" s="21" t="s">
        <v>28</v>
      </c>
      <c r="I105" s="22" t="s">
        <v>183</v>
      </c>
      <c r="J105" s="23">
        <v>21.0</v>
      </c>
      <c r="K105" s="21">
        <f t="shared" si="24"/>
        <v>0.3233333333</v>
      </c>
      <c r="L105" s="24">
        <f t="shared" si="18"/>
        <v>2.586666667</v>
      </c>
      <c r="M105" s="14">
        <f t="shared" si="19"/>
        <v>0.1616666667</v>
      </c>
      <c r="N105" s="14">
        <f t="shared" si="20"/>
        <v>0.05388888889</v>
      </c>
      <c r="O105" s="14">
        <f t="shared" si="21"/>
        <v>0.011405257</v>
      </c>
    </row>
    <row r="106">
      <c r="A106" s="6" t="s">
        <v>184</v>
      </c>
      <c r="B106" s="20">
        <f t="shared" si="16"/>
        <v>0.335483871</v>
      </c>
      <c r="C106" s="20">
        <f t="shared" si="27"/>
        <v>-0.038647343</v>
      </c>
      <c r="D106" s="21">
        <v>3.1</v>
      </c>
      <c r="E106" s="21">
        <v>4.14</v>
      </c>
      <c r="F106" s="21">
        <v>4.14</v>
      </c>
      <c r="G106" s="21">
        <v>3.98</v>
      </c>
      <c r="H106" s="21" t="s">
        <v>28</v>
      </c>
      <c r="I106" s="22" t="s">
        <v>185</v>
      </c>
      <c r="J106" s="23">
        <v>17.0</v>
      </c>
      <c r="K106" s="21">
        <f t="shared" si="24"/>
        <v>0.2341176471</v>
      </c>
      <c r="L106" s="24">
        <f t="shared" si="18"/>
        <v>1.872941176</v>
      </c>
      <c r="M106" s="14">
        <f t="shared" si="19"/>
        <v>0.1170588235</v>
      </c>
      <c r="N106" s="14">
        <f t="shared" si="20"/>
        <v>0.03901960784</v>
      </c>
      <c r="O106" s="14">
        <f t="shared" si="21"/>
        <v>0.00825826371</v>
      </c>
    </row>
    <row r="107">
      <c r="A107" s="26" t="s">
        <v>186</v>
      </c>
      <c r="B107" s="27">
        <f t="shared" si="16"/>
        <v>0.2015503876</v>
      </c>
      <c r="C107" s="27"/>
      <c r="D107" s="28">
        <v>2.58</v>
      </c>
      <c r="E107" s="28">
        <v>3.1</v>
      </c>
      <c r="F107" s="28">
        <v>3.1</v>
      </c>
      <c r="G107" s="31"/>
      <c r="H107" s="28" t="s">
        <v>28</v>
      </c>
      <c r="I107" s="29">
        <v>16.0</v>
      </c>
      <c r="J107" s="30">
        <v>16.0</v>
      </c>
      <c r="K107" s="28">
        <f t="shared" si="24"/>
        <v>0</v>
      </c>
      <c r="L107" s="31">
        <f t="shared" si="18"/>
        <v>0</v>
      </c>
      <c r="M107" s="32">
        <f t="shared" si="19"/>
        <v>0</v>
      </c>
      <c r="N107" s="32">
        <f t="shared" si="20"/>
        <v>0</v>
      </c>
      <c r="O107" s="32">
        <f t="shared" si="21"/>
        <v>0</v>
      </c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</row>
    <row r="108">
      <c r="A108" s="26" t="s">
        <v>187</v>
      </c>
      <c r="B108" s="27">
        <f t="shared" si="16"/>
        <v>0</v>
      </c>
      <c r="C108" s="27"/>
      <c r="D108" s="28">
        <v>2.86</v>
      </c>
      <c r="E108" s="28">
        <v>2.86</v>
      </c>
      <c r="F108" s="28">
        <v>2.86</v>
      </c>
      <c r="G108" s="28"/>
      <c r="H108" s="28" t="s">
        <v>28</v>
      </c>
      <c r="I108" s="29" t="s">
        <v>34</v>
      </c>
      <c r="J108" s="30">
        <v>16.0</v>
      </c>
      <c r="K108" s="28">
        <f t="shared" si="24"/>
        <v>0</v>
      </c>
      <c r="L108" s="31">
        <f t="shared" si="18"/>
        <v>0</v>
      </c>
      <c r="M108" s="32">
        <f t="shared" si="19"/>
        <v>0</v>
      </c>
      <c r="N108" s="32">
        <f t="shared" si="20"/>
        <v>0</v>
      </c>
      <c r="O108" s="32">
        <f t="shared" si="21"/>
        <v>0</v>
      </c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</row>
    <row r="109">
      <c r="A109" s="6" t="s">
        <v>188</v>
      </c>
      <c r="B109" s="20">
        <f t="shared" si="16"/>
        <v>0.01853568119</v>
      </c>
      <c r="C109" s="20">
        <f t="shared" ref="C109:C115" si="28">((G109-F109)/F109)</f>
        <v>0</v>
      </c>
      <c r="D109" s="21">
        <v>10.79</v>
      </c>
      <c r="E109" s="21">
        <v>10.99</v>
      </c>
      <c r="F109" s="21">
        <v>10.99</v>
      </c>
      <c r="G109" s="21">
        <v>10.99</v>
      </c>
      <c r="H109" s="21" t="s">
        <v>155</v>
      </c>
      <c r="I109" s="22" t="s">
        <v>189</v>
      </c>
      <c r="J109" s="23">
        <v>96.0</v>
      </c>
      <c r="K109" s="21">
        <f t="shared" si="24"/>
        <v>0.1144791667</v>
      </c>
      <c r="L109" s="24">
        <f t="shared" si="18"/>
        <v>0.9158333333</v>
      </c>
      <c r="M109" s="14">
        <f t="shared" si="19"/>
        <v>0.05723958333</v>
      </c>
      <c r="N109" s="14">
        <f t="shared" si="20"/>
        <v>0.01907986111</v>
      </c>
      <c r="O109" s="14">
        <f t="shared" si="21"/>
        <v>0.004038137063</v>
      </c>
    </row>
    <row r="110">
      <c r="A110" s="34" t="s">
        <v>190</v>
      </c>
      <c r="B110" s="20">
        <f t="shared" si="16"/>
        <v>0</v>
      </c>
      <c r="C110" s="20">
        <f t="shared" si="28"/>
        <v>-0.2394014963</v>
      </c>
      <c r="D110" s="21">
        <v>4.01</v>
      </c>
      <c r="E110" s="21">
        <v>4.01</v>
      </c>
      <c r="F110" s="21">
        <v>4.01</v>
      </c>
      <c r="G110" s="21">
        <v>3.05</v>
      </c>
      <c r="H110" s="21" t="s">
        <v>155</v>
      </c>
      <c r="I110" s="22" t="s">
        <v>22</v>
      </c>
      <c r="J110" s="23">
        <v>16.0</v>
      </c>
      <c r="K110" s="21">
        <f t="shared" si="24"/>
        <v>0.190625</v>
      </c>
      <c r="L110" s="24">
        <f t="shared" si="18"/>
        <v>1.525</v>
      </c>
      <c r="M110" s="14">
        <f t="shared" si="19"/>
        <v>0.0953125</v>
      </c>
      <c r="N110" s="14">
        <f t="shared" si="20"/>
        <v>0.03177083333</v>
      </c>
      <c r="O110" s="14">
        <f t="shared" si="21"/>
        <v>0.006724104482</v>
      </c>
    </row>
    <row r="111">
      <c r="A111" s="6" t="s">
        <v>191</v>
      </c>
      <c r="B111" s="20">
        <f t="shared" si="16"/>
        <v>0</v>
      </c>
      <c r="C111" s="20">
        <f t="shared" si="28"/>
        <v>0.1606451613</v>
      </c>
      <c r="D111" s="21">
        <v>30.99</v>
      </c>
      <c r="E111" s="21">
        <v>30.99</v>
      </c>
      <c r="F111" s="21">
        <v>15.5</v>
      </c>
      <c r="G111" s="21">
        <v>17.99</v>
      </c>
      <c r="H111" s="21" t="s">
        <v>155</v>
      </c>
      <c r="I111" s="22" t="s">
        <v>192</v>
      </c>
      <c r="J111" s="23">
        <v>400.0</v>
      </c>
      <c r="K111" s="21">
        <f t="shared" si="24"/>
        <v>0.044975</v>
      </c>
      <c r="L111" s="24">
        <f t="shared" si="18"/>
        <v>0.3598</v>
      </c>
      <c r="M111" s="14">
        <f t="shared" si="19"/>
        <v>0.0224875</v>
      </c>
      <c r="N111" s="14">
        <f t="shared" si="20"/>
        <v>0.007495833333</v>
      </c>
      <c r="O111" s="14">
        <f t="shared" si="21"/>
        <v>0.001586447733</v>
      </c>
    </row>
    <row r="112">
      <c r="A112" s="6" t="s">
        <v>193</v>
      </c>
      <c r="B112" s="20">
        <f t="shared" si="16"/>
        <v>0</v>
      </c>
      <c r="C112" s="20">
        <f t="shared" si="28"/>
        <v>-0.1668520578</v>
      </c>
      <c r="D112" s="21">
        <v>8.99</v>
      </c>
      <c r="E112" s="21">
        <v>8.99</v>
      </c>
      <c r="F112" s="21">
        <v>8.99</v>
      </c>
      <c r="G112" s="21">
        <v>7.49</v>
      </c>
      <c r="H112" s="21" t="s">
        <v>155</v>
      </c>
      <c r="I112" s="22" t="s">
        <v>192</v>
      </c>
      <c r="J112" s="23">
        <v>400.0</v>
      </c>
      <c r="K112" s="21">
        <f t="shared" si="24"/>
        <v>0.018725</v>
      </c>
      <c r="L112" s="24">
        <f t="shared" si="18"/>
        <v>0.1498</v>
      </c>
      <c r="M112" s="14">
        <f t="shared" si="19"/>
        <v>0.0093625</v>
      </c>
      <c r="N112" s="14">
        <f t="shared" si="20"/>
        <v>0.003120833333</v>
      </c>
      <c r="O112" s="14">
        <f t="shared" si="21"/>
        <v>0.0006605054763</v>
      </c>
    </row>
    <row r="113">
      <c r="A113" s="6" t="s">
        <v>194</v>
      </c>
      <c r="B113" s="20">
        <f t="shared" si="16"/>
        <v>-0.07147962831</v>
      </c>
      <c r="C113" s="20">
        <f t="shared" si="28"/>
        <v>-0.1539645881</v>
      </c>
      <c r="D113" s="21">
        <v>13.99</v>
      </c>
      <c r="E113" s="21">
        <v>12.99</v>
      </c>
      <c r="F113" s="21">
        <v>12.99</v>
      </c>
      <c r="G113" s="21">
        <v>10.99</v>
      </c>
      <c r="H113" s="21" t="s">
        <v>155</v>
      </c>
      <c r="I113" s="22" t="s">
        <v>195</v>
      </c>
      <c r="J113" s="23">
        <v>192.0</v>
      </c>
      <c r="K113" s="21">
        <f t="shared" si="24"/>
        <v>0.05723958333</v>
      </c>
      <c r="L113" s="24">
        <f t="shared" si="18"/>
        <v>0.4579166667</v>
      </c>
      <c r="M113" s="14">
        <f t="shared" si="19"/>
        <v>0.02861979167</v>
      </c>
      <c r="N113" s="14">
        <f t="shared" si="20"/>
        <v>0.009539930556</v>
      </c>
      <c r="O113" s="14">
        <f t="shared" si="21"/>
        <v>0.002019068531</v>
      </c>
      <c r="P113" s="6" t="s">
        <v>196</v>
      </c>
    </row>
    <row r="114">
      <c r="A114" s="6" t="s">
        <v>197</v>
      </c>
      <c r="B114" s="20">
        <f t="shared" si="16"/>
        <v>-0.1177163037</v>
      </c>
      <c r="C114" s="20">
        <f t="shared" si="28"/>
        <v>-0.1334222815</v>
      </c>
      <c r="D114" s="21">
        <v>16.99</v>
      </c>
      <c r="E114" s="21">
        <v>14.99</v>
      </c>
      <c r="F114" s="21">
        <v>14.99</v>
      </c>
      <c r="G114" s="21">
        <v>12.99</v>
      </c>
      <c r="H114" s="21" t="s">
        <v>155</v>
      </c>
      <c r="I114" s="22" t="s">
        <v>198</v>
      </c>
      <c r="J114" s="23">
        <v>80.0</v>
      </c>
      <c r="K114" s="21">
        <f t="shared" si="24"/>
        <v>0.162375</v>
      </c>
      <c r="L114" s="24">
        <f t="shared" si="18"/>
        <v>1.299</v>
      </c>
      <c r="M114" s="14">
        <f t="shared" si="19"/>
        <v>0.0811875</v>
      </c>
      <c r="N114" s="14">
        <f t="shared" si="20"/>
        <v>0.0270625</v>
      </c>
      <c r="O114" s="14">
        <f t="shared" si="21"/>
        <v>0.005727614244</v>
      </c>
    </row>
    <row r="115">
      <c r="A115" s="6" t="s">
        <v>199</v>
      </c>
      <c r="B115" s="20">
        <f t="shared" si="16"/>
        <v>-0.04170141785</v>
      </c>
      <c r="C115" s="20">
        <f t="shared" si="28"/>
        <v>-0.1305483029</v>
      </c>
      <c r="D115" s="21">
        <v>11.99</v>
      </c>
      <c r="E115" s="21">
        <v>11.49</v>
      </c>
      <c r="F115" s="21">
        <v>11.49</v>
      </c>
      <c r="G115" s="21">
        <v>9.99</v>
      </c>
      <c r="H115" s="21" t="s">
        <v>155</v>
      </c>
      <c r="I115" s="22" t="s">
        <v>34</v>
      </c>
      <c r="J115" s="23">
        <v>16.0</v>
      </c>
      <c r="K115" s="21">
        <f t="shared" si="24"/>
        <v>0.624375</v>
      </c>
      <c r="L115" s="24">
        <f t="shared" si="18"/>
        <v>4.995</v>
      </c>
      <c r="M115" s="14">
        <f t="shared" si="19"/>
        <v>0.3121875</v>
      </c>
      <c r="N115" s="14">
        <f t="shared" si="20"/>
        <v>0.1040625</v>
      </c>
      <c r="O115" s="14">
        <f t="shared" si="21"/>
        <v>0.02202419796</v>
      </c>
    </row>
    <row r="116">
      <c r="A116" s="26" t="s">
        <v>200</v>
      </c>
      <c r="B116" s="27">
        <f t="shared" si="16"/>
        <v>0.2607232969</v>
      </c>
      <c r="C116" s="27"/>
      <c r="D116" s="28">
        <v>11.89</v>
      </c>
      <c r="E116" s="28">
        <v>14.99</v>
      </c>
      <c r="F116" s="28">
        <v>14.99</v>
      </c>
      <c r="G116" s="31"/>
      <c r="H116" s="28" t="s">
        <v>155</v>
      </c>
      <c r="I116" s="29" t="s">
        <v>201</v>
      </c>
      <c r="J116" s="30">
        <v>33.8</v>
      </c>
      <c r="K116" s="28">
        <f t="shared" si="24"/>
        <v>0</v>
      </c>
      <c r="L116" s="31">
        <f t="shared" si="18"/>
        <v>0</v>
      </c>
      <c r="M116" s="32">
        <f t="shared" si="19"/>
        <v>0</v>
      </c>
      <c r="N116" s="32">
        <f t="shared" si="20"/>
        <v>0</v>
      </c>
      <c r="O116" s="32">
        <f t="shared" si="21"/>
        <v>0</v>
      </c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</row>
    <row r="117">
      <c r="A117" s="6" t="s">
        <v>202</v>
      </c>
      <c r="B117" s="20">
        <f t="shared" si="16"/>
        <v>-0.07147962831</v>
      </c>
      <c r="C117" s="20">
        <f t="shared" ref="C117:C123" si="29">((G117-F117)/F117)</f>
        <v>-0.07698229407</v>
      </c>
      <c r="D117" s="21">
        <v>13.99</v>
      </c>
      <c r="E117" s="21">
        <v>12.99</v>
      </c>
      <c r="F117" s="21">
        <v>12.99</v>
      </c>
      <c r="G117" s="21">
        <v>11.99</v>
      </c>
      <c r="H117" s="21" t="s">
        <v>155</v>
      </c>
      <c r="I117" s="22" t="s">
        <v>203</v>
      </c>
      <c r="J117" s="23">
        <v>32.0</v>
      </c>
      <c r="K117" s="21">
        <f t="shared" si="24"/>
        <v>0.3746875</v>
      </c>
      <c r="L117" s="24">
        <f t="shared" si="18"/>
        <v>2.9975</v>
      </c>
      <c r="M117" s="14">
        <f t="shared" si="19"/>
        <v>0.18734375</v>
      </c>
      <c r="N117" s="14">
        <f t="shared" si="20"/>
        <v>0.06244791667</v>
      </c>
      <c r="O117" s="14">
        <f t="shared" si="21"/>
        <v>0.0132167234</v>
      </c>
    </row>
    <row r="118">
      <c r="A118" s="6" t="s">
        <v>204</v>
      </c>
      <c r="B118" s="20">
        <f t="shared" si="16"/>
        <v>-0.2885725279</v>
      </c>
      <c r="C118" s="20">
        <f t="shared" si="29"/>
        <v>0.1892915089</v>
      </c>
      <c r="D118" s="21">
        <v>25.99</v>
      </c>
      <c r="E118" s="21">
        <v>18.49</v>
      </c>
      <c r="F118" s="21">
        <v>18.49</v>
      </c>
      <c r="G118" s="21">
        <v>21.99</v>
      </c>
      <c r="H118" s="21" t="s">
        <v>155</v>
      </c>
      <c r="I118" s="22" t="s">
        <v>205</v>
      </c>
      <c r="J118" s="23">
        <v>30.0</v>
      </c>
      <c r="K118" s="21">
        <f t="shared" si="24"/>
        <v>0.733</v>
      </c>
      <c r="L118" s="24">
        <f t="shared" si="18"/>
        <v>5.864</v>
      </c>
      <c r="M118" s="14">
        <f t="shared" si="19"/>
        <v>0.3665</v>
      </c>
      <c r="N118" s="14">
        <f t="shared" si="20"/>
        <v>0.1221666667</v>
      </c>
      <c r="O118" s="14">
        <f t="shared" si="21"/>
        <v>0.0258558352</v>
      </c>
    </row>
    <row r="119">
      <c r="A119" s="34" t="s">
        <v>206</v>
      </c>
      <c r="B119" s="20">
        <f t="shared" si="16"/>
        <v>0.0508135169</v>
      </c>
      <c r="C119" s="20">
        <f t="shared" si="29"/>
        <v>-0.5238208671</v>
      </c>
      <c r="D119" s="21">
        <v>39.95</v>
      </c>
      <c r="E119" s="21">
        <v>41.98</v>
      </c>
      <c r="F119" s="21">
        <v>41.98</v>
      </c>
      <c r="G119" s="21">
        <v>19.99</v>
      </c>
      <c r="H119" s="21" t="s">
        <v>155</v>
      </c>
      <c r="I119" s="22" t="s">
        <v>34</v>
      </c>
      <c r="J119" s="23">
        <v>16.0</v>
      </c>
      <c r="K119" s="21">
        <f t="shared" si="24"/>
        <v>1.249375</v>
      </c>
      <c r="L119" s="24">
        <f t="shared" si="18"/>
        <v>9.995</v>
      </c>
      <c r="M119" s="14">
        <f t="shared" si="19"/>
        <v>0.6246875</v>
      </c>
      <c r="N119" s="14">
        <f t="shared" si="20"/>
        <v>0.2082291667</v>
      </c>
      <c r="O119" s="14">
        <f t="shared" si="21"/>
        <v>0.04407044216</v>
      </c>
    </row>
    <row r="120">
      <c r="A120" s="34" t="s">
        <v>207</v>
      </c>
      <c r="B120" s="20">
        <f t="shared" si="16"/>
        <v>-0.3238849521</v>
      </c>
      <c r="C120" s="20">
        <f t="shared" si="29"/>
        <v>0.8329223181</v>
      </c>
      <c r="D120" s="21">
        <v>23.99</v>
      </c>
      <c r="E120" s="21">
        <v>16.22</v>
      </c>
      <c r="F120" s="21">
        <v>16.22</v>
      </c>
      <c r="G120" s="21">
        <v>29.73</v>
      </c>
      <c r="H120" s="21" t="s">
        <v>67</v>
      </c>
      <c r="I120" s="22" t="s">
        <v>208</v>
      </c>
      <c r="J120" s="23">
        <v>28.0</v>
      </c>
      <c r="K120" s="21">
        <f t="shared" si="24"/>
        <v>1.061785714</v>
      </c>
      <c r="L120" s="24">
        <f t="shared" si="18"/>
        <v>8.494285714</v>
      </c>
      <c r="M120" s="14">
        <f t="shared" si="19"/>
        <v>0.5308928571</v>
      </c>
      <c r="N120" s="14">
        <f t="shared" si="20"/>
        <v>0.1769642857</v>
      </c>
      <c r="O120" s="14">
        <f t="shared" si="21"/>
        <v>0.03745341944</v>
      </c>
    </row>
    <row r="121">
      <c r="A121" s="34" t="s">
        <v>209</v>
      </c>
      <c r="B121" s="20">
        <f t="shared" si="16"/>
        <v>0</v>
      </c>
      <c r="C121" s="20">
        <f t="shared" si="29"/>
        <v>0</v>
      </c>
      <c r="D121" s="21">
        <v>6.29</v>
      </c>
      <c r="E121" s="21">
        <v>6.29</v>
      </c>
      <c r="F121" s="21">
        <v>6.29</v>
      </c>
      <c r="G121" s="21">
        <v>6.29</v>
      </c>
      <c r="H121" s="21" t="s">
        <v>67</v>
      </c>
      <c r="I121" s="22" t="s">
        <v>210</v>
      </c>
      <c r="J121" s="23">
        <v>6.25</v>
      </c>
      <c r="K121" s="21">
        <f t="shared" si="24"/>
        <v>1.0064</v>
      </c>
      <c r="L121" s="24">
        <f t="shared" si="18"/>
        <v>8.0512</v>
      </c>
      <c r="M121" s="14">
        <f t="shared" si="19"/>
        <v>0.5032</v>
      </c>
      <c r="N121" s="14">
        <f t="shared" si="20"/>
        <v>0.1677333333</v>
      </c>
      <c r="O121" s="14">
        <f t="shared" si="21"/>
        <v>0.03549974426</v>
      </c>
    </row>
    <row r="122">
      <c r="A122" s="6" t="s">
        <v>211</v>
      </c>
      <c r="B122" s="20">
        <f t="shared" si="16"/>
        <v>-0.1261154075</v>
      </c>
      <c r="C122" s="20">
        <f t="shared" si="29"/>
        <v>0.5976855003</v>
      </c>
      <c r="D122" s="21">
        <v>16.81</v>
      </c>
      <c r="E122" s="21">
        <v>14.69</v>
      </c>
      <c r="F122" s="21">
        <v>14.69</v>
      </c>
      <c r="G122" s="21">
        <v>23.47</v>
      </c>
      <c r="H122" s="21" t="s">
        <v>67</v>
      </c>
      <c r="I122" s="22" t="s">
        <v>212</v>
      </c>
      <c r="J122" s="23">
        <v>25.0</v>
      </c>
      <c r="K122" s="21">
        <f t="shared" si="24"/>
        <v>0.9388</v>
      </c>
      <c r="L122" s="24">
        <f t="shared" si="18"/>
        <v>7.5104</v>
      </c>
      <c r="M122" s="14">
        <f t="shared" si="19"/>
        <v>0.4694</v>
      </c>
      <c r="N122" s="14">
        <f t="shared" si="20"/>
        <v>0.1564666667</v>
      </c>
      <c r="O122" s="14">
        <f t="shared" si="21"/>
        <v>0.03311522249</v>
      </c>
    </row>
    <row r="123">
      <c r="A123" s="34" t="s">
        <v>213</v>
      </c>
      <c r="B123" s="20">
        <f t="shared" si="16"/>
        <v>0.007528230866</v>
      </c>
      <c r="C123" s="20">
        <f t="shared" si="29"/>
        <v>0.03113325031</v>
      </c>
      <c r="D123" s="21">
        <v>7.97</v>
      </c>
      <c r="E123" s="21">
        <v>8.03</v>
      </c>
      <c r="F123" s="21">
        <v>8.03</v>
      </c>
      <c r="G123" s="21">
        <v>8.28</v>
      </c>
      <c r="H123" s="21" t="s">
        <v>67</v>
      </c>
      <c r="I123" s="25" t="s">
        <v>214</v>
      </c>
      <c r="J123" s="51">
        <v>5.0</v>
      </c>
      <c r="K123" s="21">
        <f t="shared" si="24"/>
        <v>1.656</v>
      </c>
      <c r="L123" s="24">
        <f t="shared" si="18"/>
        <v>13.248</v>
      </c>
      <c r="M123" s="14">
        <f t="shared" si="19"/>
        <v>0.828</v>
      </c>
      <c r="N123" s="14">
        <f t="shared" si="20"/>
        <v>0.276</v>
      </c>
      <c r="O123" s="14">
        <f t="shared" si="21"/>
        <v>0.05841372864</v>
      </c>
    </row>
    <row r="124">
      <c r="A124" s="26" t="s">
        <v>215</v>
      </c>
      <c r="B124" s="27">
        <f t="shared" si="16"/>
        <v>-0.3109521189</v>
      </c>
      <c r="C124" s="27"/>
      <c r="D124" s="28">
        <v>18.17</v>
      </c>
      <c r="E124" s="28">
        <v>12.52</v>
      </c>
      <c r="F124" s="28">
        <v>12.52</v>
      </c>
      <c r="G124" s="28"/>
      <c r="H124" s="28" t="s">
        <v>67</v>
      </c>
      <c r="I124" s="29" t="s">
        <v>39</v>
      </c>
      <c r="J124" s="30">
        <v>32.0</v>
      </c>
      <c r="K124" s="28">
        <f t="shared" si="24"/>
        <v>0</v>
      </c>
      <c r="L124" s="31">
        <f t="shared" si="18"/>
        <v>0</v>
      </c>
      <c r="M124" s="32">
        <f t="shared" si="19"/>
        <v>0</v>
      </c>
      <c r="N124" s="32">
        <f t="shared" si="20"/>
        <v>0</v>
      </c>
      <c r="O124" s="32">
        <f t="shared" si="21"/>
        <v>0</v>
      </c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</row>
    <row r="125">
      <c r="A125" s="6" t="s">
        <v>216</v>
      </c>
      <c r="B125" s="20">
        <f t="shared" si="16"/>
        <v>-0.01000333444</v>
      </c>
      <c r="C125" s="20">
        <f t="shared" ref="C125:C136" si="30">((G125-F125)/F125)</f>
        <v>0.1448299091</v>
      </c>
      <c r="D125" s="21">
        <v>29.99</v>
      </c>
      <c r="E125" s="21">
        <v>29.69</v>
      </c>
      <c r="F125" s="21">
        <v>29.69</v>
      </c>
      <c r="G125" s="21">
        <v>33.99</v>
      </c>
      <c r="H125" s="21" t="s">
        <v>67</v>
      </c>
      <c r="I125" s="22" t="s">
        <v>34</v>
      </c>
      <c r="J125" s="23">
        <v>16.0</v>
      </c>
      <c r="K125" s="21">
        <f t="shared" si="24"/>
        <v>2.124375</v>
      </c>
      <c r="L125" s="24">
        <f t="shared" si="18"/>
        <v>16.995</v>
      </c>
      <c r="M125" s="14">
        <f t="shared" si="19"/>
        <v>1.0621875</v>
      </c>
      <c r="N125" s="14">
        <f t="shared" si="20"/>
        <v>0.3540625</v>
      </c>
      <c r="O125" s="14">
        <f t="shared" si="21"/>
        <v>0.07493518404</v>
      </c>
    </row>
    <row r="126">
      <c r="A126" s="6" t="s">
        <v>217</v>
      </c>
      <c r="B126" s="20">
        <f t="shared" si="16"/>
        <v>0.2923656282</v>
      </c>
      <c r="C126" s="20">
        <f t="shared" si="30"/>
        <v>-0.2055629139</v>
      </c>
      <c r="D126" s="21">
        <v>29.21</v>
      </c>
      <c r="E126" s="21">
        <v>37.75</v>
      </c>
      <c r="F126" s="21">
        <v>37.75</v>
      </c>
      <c r="G126" s="21">
        <v>29.99</v>
      </c>
      <c r="H126" s="21" t="s">
        <v>67</v>
      </c>
      <c r="I126" s="22" t="s">
        <v>218</v>
      </c>
      <c r="J126" s="23">
        <v>80.0</v>
      </c>
      <c r="K126" s="21">
        <f t="shared" si="24"/>
        <v>0.374875</v>
      </c>
      <c r="L126" s="24">
        <f t="shared" si="18"/>
        <v>2.999</v>
      </c>
      <c r="M126" s="14">
        <f t="shared" si="19"/>
        <v>0.1874375</v>
      </c>
      <c r="N126" s="14">
        <f t="shared" si="20"/>
        <v>0.06247916667</v>
      </c>
      <c r="O126" s="14">
        <f t="shared" si="21"/>
        <v>0.01322333727</v>
      </c>
    </row>
    <row r="127">
      <c r="A127" s="41" t="s">
        <v>219</v>
      </c>
      <c r="B127" s="20">
        <f t="shared" si="16"/>
        <v>-0.004739336493</v>
      </c>
      <c r="C127" s="20">
        <f t="shared" si="30"/>
        <v>0.3804232804</v>
      </c>
      <c r="D127" s="21">
        <v>18.99</v>
      </c>
      <c r="E127" s="21">
        <v>18.9</v>
      </c>
      <c r="F127" s="21">
        <v>18.9</v>
      </c>
      <c r="G127" s="21">
        <v>26.09</v>
      </c>
      <c r="H127" s="21" t="s">
        <v>67</v>
      </c>
      <c r="I127" s="22" t="s">
        <v>220</v>
      </c>
      <c r="J127" s="23">
        <v>500.0</v>
      </c>
      <c r="K127" s="21">
        <f t="shared" si="24"/>
        <v>0.05218</v>
      </c>
      <c r="L127" s="24">
        <f t="shared" si="18"/>
        <v>0.41744</v>
      </c>
      <c r="M127" s="14">
        <f t="shared" si="19"/>
        <v>0.02609</v>
      </c>
      <c r="N127" s="14">
        <f t="shared" si="20"/>
        <v>0.008696666667</v>
      </c>
      <c r="O127" s="14">
        <f t="shared" si="21"/>
        <v>0.001840596836</v>
      </c>
    </row>
    <row r="128">
      <c r="A128" s="34" t="s">
        <v>221</v>
      </c>
      <c r="B128" s="20">
        <f t="shared" si="16"/>
        <v>-0.0192548137</v>
      </c>
      <c r="C128" s="20">
        <f t="shared" si="30"/>
        <v>0.02549719531</v>
      </c>
      <c r="D128" s="21">
        <v>39.99</v>
      </c>
      <c r="E128" s="21">
        <v>39.22</v>
      </c>
      <c r="F128" s="21">
        <v>39.22</v>
      </c>
      <c r="G128" s="21">
        <v>40.22</v>
      </c>
      <c r="H128" s="21" t="s">
        <v>67</v>
      </c>
      <c r="I128" s="22" t="s">
        <v>222</v>
      </c>
      <c r="J128" s="23">
        <v>2000.0</v>
      </c>
      <c r="K128" s="21">
        <f t="shared" si="24"/>
        <v>0.02011</v>
      </c>
      <c r="L128" s="24">
        <f t="shared" si="18"/>
        <v>0.16088</v>
      </c>
      <c r="M128" s="14">
        <f t="shared" si="19"/>
        <v>0.010055</v>
      </c>
      <c r="N128" s="14">
        <f t="shared" si="20"/>
        <v>0.003351666667</v>
      </c>
      <c r="O128" s="14">
        <f t="shared" si="21"/>
        <v>0.0007093599534</v>
      </c>
    </row>
    <row r="129">
      <c r="A129" s="6" t="s">
        <v>223</v>
      </c>
      <c r="B129" s="20">
        <f t="shared" si="16"/>
        <v>0.01753393665</v>
      </c>
      <c r="C129" s="20">
        <f t="shared" si="30"/>
        <v>0</v>
      </c>
      <c r="D129" s="21">
        <v>17.68</v>
      </c>
      <c r="E129" s="21">
        <v>17.99</v>
      </c>
      <c r="F129" s="21">
        <v>17.99</v>
      </c>
      <c r="G129" s="21">
        <v>17.99</v>
      </c>
      <c r="H129" s="21" t="s">
        <v>67</v>
      </c>
      <c r="I129" s="22" t="s">
        <v>224</v>
      </c>
      <c r="J129" s="23">
        <v>800.0</v>
      </c>
      <c r="K129" s="21">
        <f t="shared" si="24"/>
        <v>0.0224875</v>
      </c>
      <c r="L129" s="24">
        <f t="shared" si="18"/>
        <v>0.1799</v>
      </c>
      <c r="M129" s="14">
        <f t="shared" si="19"/>
        <v>0.01124375</v>
      </c>
      <c r="N129" s="14">
        <f t="shared" si="20"/>
        <v>0.003747916667</v>
      </c>
      <c r="O129" s="14">
        <f t="shared" si="21"/>
        <v>0.0007932238664</v>
      </c>
    </row>
    <row r="130">
      <c r="A130" s="6" t="s">
        <v>225</v>
      </c>
      <c r="B130" s="20">
        <f t="shared" si="16"/>
        <v>0</v>
      </c>
      <c r="C130" s="20">
        <f t="shared" si="30"/>
        <v>0.1606397775</v>
      </c>
      <c r="D130" s="21">
        <v>14.38</v>
      </c>
      <c r="E130" s="21">
        <v>14.38</v>
      </c>
      <c r="F130" s="21">
        <v>14.38</v>
      </c>
      <c r="G130" s="21">
        <v>16.69</v>
      </c>
      <c r="H130" s="21" t="s">
        <v>67</v>
      </c>
      <c r="I130" s="22" t="s">
        <v>224</v>
      </c>
      <c r="J130" s="23">
        <v>800.0</v>
      </c>
      <c r="K130" s="21">
        <f t="shared" si="24"/>
        <v>0.0208625</v>
      </c>
      <c r="L130" s="24">
        <f t="shared" si="18"/>
        <v>0.1669</v>
      </c>
      <c r="M130" s="14">
        <f t="shared" si="19"/>
        <v>0.01043125</v>
      </c>
      <c r="N130" s="14">
        <f t="shared" si="20"/>
        <v>0.003477083333</v>
      </c>
      <c r="O130" s="14">
        <f t="shared" si="21"/>
        <v>0.0007359036315</v>
      </c>
    </row>
    <row r="131">
      <c r="A131" s="25" t="s">
        <v>226</v>
      </c>
      <c r="B131" s="20">
        <f t="shared" si="16"/>
        <v>-0.2746703047</v>
      </c>
      <c r="C131" s="20">
        <f t="shared" si="30"/>
        <v>0</v>
      </c>
      <c r="D131" s="21">
        <v>21.99</v>
      </c>
      <c r="E131" s="21">
        <v>15.95</v>
      </c>
      <c r="F131" s="21">
        <v>15.95</v>
      </c>
      <c r="G131" s="21">
        <v>15.95</v>
      </c>
      <c r="H131" s="21" t="s">
        <v>67</v>
      </c>
      <c r="I131" s="22" t="s">
        <v>222</v>
      </c>
      <c r="J131" s="23">
        <v>2000.0</v>
      </c>
      <c r="K131" s="21">
        <f t="shared" si="24"/>
        <v>0.007975</v>
      </c>
      <c r="L131" s="24">
        <f t="shared" si="18"/>
        <v>0.0638</v>
      </c>
      <c r="M131" s="14">
        <f t="shared" si="19"/>
        <v>0.0039875</v>
      </c>
      <c r="N131" s="14">
        <f t="shared" si="20"/>
        <v>0.001329166667</v>
      </c>
      <c r="O131" s="14">
        <f t="shared" si="21"/>
        <v>0.000281310076</v>
      </c>
    </row>
    <row r="132">
      <c r="A132" s="6" t="s">
        <v>227</v>
      </c>
      <c r="B132" s="20">
        <f t="shared" si="16"/>
        <v>-0.09339263024</v>
      </c>
      <c r="C132" s="20">
        <f t="shared" si="30"/>
        <v>0.07848633497</v>
      </c>
      <c r="D132" s="21">
        <v>15.74</v>
      </c>
      <c r="E132" s="21">
        <v>14.27</v>
      </c>
      <c r="F132" s="21">
        <v>14.27</v>
      </c>
      <c r="G132" s="21">
        <v>15.39</v>
      </c>
      <c r="H132" s="21" t="s">
        <v>67</v>
      </c>
      <c r="I132" s="22" t="s">
        <v>228</v>
      </c>
      <c r="J132" s="23">
        <v>200.0</v>
      </c>
      <c r="K132" s="21">
        <f t="shared" si="24"/>
        <v>0.07695</v>
      </c>
      <c r="L132" s="24">
        <f t="shared" si="18"/>
        <v>0.6156</v>
      </c>
      <c r="M132" s="14">
        <f t="shared" si="19"/>
        <v>0.038475</v>
      </c>
      <c r="N132" s="14">
        <f t="shared" si="20"/>
        <v>0.012825</v>
      </c>
      <c r="O132" s="14">
        <f t="shared" si="21"/>
        <v>0.002714333586</v>
      </c>
    </row>
    <row r="133">
      <c r="A133" s="6" t="s">
        <v>229</v>
      </c>
      <c r="B133" s="20">
        <f t="shared" si="16"/>
        <v>-0.2358381503</v>
      </c>
      <c r="C133" s="20">
        <f t="shared" si="30"/>
        <v>0.2824004034</v>
      </c>
      <c r="D133" s="21">
        <v>25.95</v>
      </c>
      <c r="E133" s="21">
        <v>19.83</v>
      </c>
      <c r="F133" s="21">
        <v>19.83</v>
      </c>
      <c r="G133" s="21">
        <v>25.43</v>
      </c>
      <c r="H133" s="21" t="s">
        <v>67</v>
      </c>
      <c r="I133" s="22" t="s">
        <v>228</v>
      </c>
      <c r="J133" s="23">
        <v>200.0</v>
      </c>
      <c r="K133" s="21">
        <f t="shared" si="24"/>
        <v>0.12715</v>
      </c>
      <c r="L133" s="24">
        <f t="shared" si="18"/>
        <v>1.0172</v>
      </c>
      <c r="M133" s="14">
        <f t="shared" si="19"/>
        <v>0.063575</v>
      </c>
      <c r="N133" s="14">
        <f t="shared" si="20"/>
        <v>0.02119166667</v>
      </c>
      <c r="O133" s="14">
        <f t="shared" si="21"/>
        <v>0.00448508792</v>
      </c>
    </row>
    <row r="134">
      <c r="A134" s="6" t="s">
        <v>230</v>
      </c>
      <c r="B134" s="20">
        <f t="shared" si="16"/>
        <v>0.3567625133</v>
      </c>
      <c r="C134" s="20">
        <f t="shared" si="30"/>
        <v>0.3335949765</v>
      </c>
      <c r="D134" s="21">
        <v>9.39</v>
      </c>
      <c r="E134" s="21">
        <v>12.74</v>
      </c>
      <c r="F134" s="21">
        <v>12.74</v>
      </c>
      <c r="G134" s="21">
        <v>16.99</v>
      </c>
      <c r="H134" s="21" t="s">
        <v>67</v>
      </c>
      <c r="I134" s="22" t="s">
        <v>228</v>
      </c>
      <c r="J134" s="23">
        <v>200.0</v>
      </c>
      <c r="K134" s="21">
        <f t="shared" si="24"/>
        <v>0.08495</v>
      </c>
      <c r="L134" s="24">
        <f t="shared" si="18"/>
        <v>0.6796</v>
      </c>
      <c r="M134" s="14">
        <f t="shared" si="19"/>
        <v>0.042475</v>
      </c>
      <c r="N134" s="14">
        <f t="shared" si="20"/>
        <v>0.01415833333</v>
      </c>
      <c r="O134" s="14">
        <f t="shared" si="21"/>
        <v>0.002996525512</v>
      </c>
    </row>
    <row r="135">
      <c r="A135" s="6" t="s">
        <v>231</v>
      </c>
      <c r="B135" s="20">
        <f t="shared" si="16"/>
        <v>0.1029281278</v>
      </c>
      <c r="C135" s="20">
        <f t="shared" si="30"/>
        <v>-0.4105658353</v>
      </c>
      <c r="D135" s="21">
        <v>33.81</v>
      </c>
      <c r="E135" s="21">
        <v>37.29</v>
      </c>
      <c r="F135" s="21">
        <v>37.29</v>
      </c>
      <c r="G135" s="21">
        <v>21.98</v>
      </c>
      <c r="H135" s="21" t="s">
        <v>67</v>
      </c>
      <c r="I135" s="22" t="s">
        <v>232</v>
      </c>
      <c r="J135" s="23">
        <v>36.0</v>
      </c>
      <c r="K135" s="21">
        <f t="shared" si="24"/>
        <v>0.6105555556</v>
      </c>
      <c r="L135" s="24">
        <f t="shared" si="18"/>
        <v>4.884444444</v>
      </c>
      <c r="M135" s="14">
        <f t="shared" si="19"/>
        <v>0.3052777778</v>
      </c>
      <c r="N135" s="14">
        <f t="shared" si="20"/>
        <v>0.1017592593</v>
      </c>
      <c r="O135" s="14">
        <f t="shared" si="21"/>
        <v>0.021536731</v>
      </c>
    </row>
    <row r="136">
      <c r="A136" s="52" t="s">
        <v>233</v>
      </c>
      <c r="B136" s="20">
        <f t="shared" si="16"/>
        <v>0.3439536568</v>
      </c>
      <c r="C136" s="20">
        <f t="shared" si="30"/>
        <v>-0.08445581897</v>
      </c>
      <c r="D136" s="21">
        <v>55.24</v>
      </c>
      <c r="E136" s="21">
        <v>74.24</v>
      </c>
      <c r="F136" s="21">
        <v>74.24</v>
      </c>
      <c r="G136" s="21">
        <v>67.97</v>
      </c>
      <c r="H136" s="6" t="s">
        <v>67</v>
      </c>
      <c r="I136" s="22" t="s">
        <v>234</v>
      </c>
      <c r="J136" s="23">
        <v>100.0</v>
      </c>
      <c r="K136" s="21">
        <f t="shared" si="24"/>
        <v>0.6797</v>
      </c>
      <c r="L136" s="24">
        <f t="shared" si="18"/>
        <v>5.4376</v>
      </c>
      <c r="M136" s="14">
        <f t="shared" si="19"/>
        <v>0.33985</v>
      </c>
      <c r="N136" s="14">
        <f t="shared" si="20"/>
        <v>0.1132833333</v>
      </c>
      <c r="O136" s="14">
        <f t="shared" si="21"/>
        <v>0.02397573149</v>
      </c>
    </row>
    <row r="137">
      <c r="A137" s="52"/>
      <c r="B137" s="20"/>
      <c r="C137" s="20"/>
      <c r="D137" s="24"/>
      <c r="E137" s="24"/>
      <c r="F137" s="24"/>
      <c r="G137" s="24"/>
      <c r="I137" s="18"/>
      <c r="J137" s="19"/>
      <c r="K137" s="21"/>
      <c r="L137" s="24"/>
      <c r="M137" s="14"/>
      <c r="N137" s="14"/>
      <c r="O137" s="14"/>
    </row>
    <row r="138">
      <c r="A138" s="43" t="s">
        <v>18</v>
      </c>
      <c r="B138" s="44"/>
      <c r="C138" s="44"/>
      <c r="D138" s="46"/>
      <c r="E138" s="46"/>
      <c r="F138" s="46"/>
      <c r="G138" s="46"/>
      <c r="H138" s="50"/>
      <c r="I138" s="47"/>
      <c r="J138" s="48"/>
      <c r="K138" s="45"/>
      <c r="L138" s="46"/>
      <c r="M138" s="49"/>
      <c r="N138" s="49"/>
      <c r="O138" s="49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  <c r="AE138" s="50"/>
      <c r="AF138" s="50"/>
    </row>
    <row r="139">
      <c r="A139" s="15" t="s">
        <v>235</v>
      </c>
      <c r="B139" s="20"/>
      <c r="C139" s="20"/>
      <c r="D139" s="54"/>
      <c r="E139" s="54"/>
      <c r="F139" s="54"/>
      <c r="G139" s="24"/>
      <c r="H139" s="15"/>
      <c r="I139" s="55"/>
      <c r="J139" s="56"/>
      <c r="K139" s="21"/>
      <c r="L139" s="15"/>
      <c r="M139" s="57"/>
      <c r="N139" s="57"/>
      <c r="O139" s="57"/>
    </row>
    <row r="140">
      <c r="A140" s="34" t="s">
        <v>236</v>
      </c>
      <c r="B140" s="20">
        <f t="shared" ref="B140:B173" si="31">((E140-D140)/D140)</f>
        <v>0.09353395689</v>
      </c>
      <c r="C140" s="20">
        <f t="shared" ref="C140:C154" si="32">((G140-F140)/F140)</f>
        <v>0</v>
      </c>
      <c r="D140" s="21">
        <v>24.59</v>
      </c>
      <c r="E140" s="21">
        <v>26.89</v>
      </c>
      <c r="F140" s="21">
        <v>26.89</v>
      </c>
      <c r="G140" s="21">
        <v>26.89</v>
      </c>
      <c r="H140" s="21" t="s">
        <v>67</v>
      </c>
      <c r="I140" s="22" t="s">
        <v>237</v>
      </c>
      <c r="J140" s="58">
        <v>600.0</v>
      </c>
      <c r="K140" s="21">
        <f t="shared" ref="K140:K173" si="33">G140/J140</f>
        <v>0.04481666667</v>
      </c>
      <c r="L140" s="24"/>
      <c r="M140" s="14"/>
      <c r="N140" s="14"/>
      <c r="O140" s="14"/>
    </row>
    <row r="141">
      <c r="A141" s="34" t="s">
        <v>238</v>
      </c>
      <c r="B141" s="20">
        <f t="shared" si="31"/>
        <v>0.04839118318</v>
      </c>
      <c r="C141" s="20">
        <f t="shared" si="32"/>
        <v>0.1034316095</v>
      </c>
      <c r="D141" s="21">
        <v>39.47</v>
      </c>
      <c r="E141" s="21">
        <v>41.38</v>
      </c>
      <c r="F141" s="21">
        <v>41.38</v>
      </c>
      <c r="G141" s="21">
        <v>45.66</v>
      </c>
      <c r="H141" s="21" t="s">
        <v>67</v>
      </c>
      <c r="I141" s="22" t="s">
        <v>239</v>
      </c>
      <c r="J141" s="58">
        <v>500.0</v>
      </c>
      <c r="K141" s="21">
        <f t="shared" si="33"/>
        <v>0.09132</v>
      </c>
      <c r="L141" s="24"/>
      <c r="M141" s="14"/>
      <c r="N141" s="14"/>
      <c r="O141" s="14"/>
    </row>
    <row r="142">
      <c r="A142" s="34" t="s">
        <v>240</v>
      </c>
      <c r="B142" s="20">
        <f t="shared" si="31"/>
        <v>0.05264543301</v>
      </c>
      <c r="C142" s="20">
        <f t="shared" si="32"/>
        <v>-0.008752188047</v>
      </c>
      <c r="D142" s="21">
        <v>37.99</v>
      </c>
      <c r="E142" s="21">
        <v>39.99</v>
      </c>
      <c r="F142" s="21">
        <v>39.99</v>
      </c>
      <c r="G142" s="21">
        <v>39.64</v>
      </c>
      <c r="H142" s="21" t="s">
        <v>67</v>
      </c>
      <c r="I142" s="22" t="s">
        <v>241</v>
      </c>
      <c r="J142" s="58">
        <v>592.0</v>
      </c>
      <c r="K142" s="21">
        <f t="shared" si="33"/>
        <v>0.06695945946</v>
      </c>
      <c r="L142" s="24"/>
      <c r="M142" s="14"/>
      <c r="N142" s="14"/>
      <c r="O142" s="14"/>
    </row>
    <row r="143">
      <c r="A143" s="34" t="s">
        <v>242</v>
      </c>
      <c r="B143" s="20">
        <f t="shared" si="31"/>
        <v>-0.02487562189</v>
      </c>
      <c r="C143" s="20">
        <f t="shared" si="32"/>
        <v>0.02040816327</v>
      </c>
      <c r="D143" s="21">
        <v>50.25</v>
      </c>
      <c r="E143" s="21">
        <v>49.0</v>
      </c>
      <c r="F143" s="21">
        <v>49.0</v>
      </c>
      <c r="G143" s="21">
        <v>50.0</v>
      </c>
      <c r="H143" s="21" t="s">
        <v>67</v>
      </c>
      <c r="I143" s="22" t="s">
        <v>243</v>
      </c>
      <c r="J143" s="58">
        <v>1000.0</v>
      </c>
      <c r="K143" s="21">
        <f t="shared" si="33"/>
        <v>0.05</v>
      </c>
      <c r="L143" s="24"/>
      <c r="M143" s="14"/>
      <c r="N143" s="14"/>
      <c r="O143" s="14"/>
    </row>
    <row r="144">
      <c r="A144" s="34" t="s">
        <v>244</v>
      </c>
      <c r="B144" s="20">
        <f t="shared" si="31"/>
        <v>-0.0243902439</v>
      </c>
      <c r="C144" s="20">
        <f t="shared" si="32"/>
        <v>0</v>
      </c>
      <c r="D144" s="21">
        <v>69.7</v>
      </c>
      <c r="E144" s="21">
        <v>68.0</v>
      </c>
      <c r="F144" s="21">
        <v>68.0</v>
      </c>
      <c r="G144" s="21">
        <v>68.0</v>
      </c>
      <c r="H144" s="21" t="s">
        <v>67</v>
      </c>
      <c r="I144" s="22" t="s">
        <v>243</v>
      </c>
      <c r="J144" s="59">
        <v>1000.0</v>
      </c>
      <c r="K144" s="21">
        <f t="shared" si="33"/>
        <v>0.068</v>
      </c>
      <c r="L144" s="24"/>
      <c r="M144" s="14"/>
      <c r="N144" s="60">
        <v>0.34</v>
      </c>
      <c r="O144" s="14">
        <f>0.16*5</f>
        <v>0.8</v>
      </c>
    </row>
    <row r="145">
      <c r="A145" s="34" t="s">
        <v>245</v>
      </c>
      <c r="B145" s="20">
        <f t="shared" si="31"/>
        <v>-0.007000875109</v>
      </c>
      <c r="C145" s="20">
        <f t="shared" si="32"/>
        <v>0.2237189979</v>
      </c>
      <c r="D145" s="21">
        <v>79.99</v>
      </c>
      <c r="E145" s="21">
        <v>79.43</v>
      </c>
      <c r="F145" s="21">
        <v>79.43</v>
      </c>
      <c r="G145" s="21">
        <v>97.2</v>
      </c>
      <c r="H145" s="21" t="s">
        <v>67</v>
      </c>
      <c r="I145" s="22" t="s">
        <v>243</v>
      </c>
      <c r="J145" s="59">
        <v>1000.0</v>
      </c>
      <c r="K145" s="21">
        <f t="shared" si="33"/>
        <v>0.0972</v>
      </c>
      <c r="L145" s="24"/>
      <c r="M145" s="14"/>
      <c r="N145" s="60">
        <v>0.12</v>
      </c>
      <c r="O145" s="14"/>
    </row>
    <row r="146">
      <c r="A146" s="34" t="s">
        <v>246</v>
      </c>
      <c r="B146" s="20">
        <f t="shared" si="31"/>
        <v>-0.01041666667</v>
      </c>
      <c r="C146" s="20">
        <f t="shared" si="32"/>
        <v>0</v>
      </c>
      <c r="D146" s="21">
        <v>57.6</v>
      </c>
      <c r="E146" s="21">
        <v>57.0</v>
      </c>
      <c r="F146" s="21">
        <v>57.0</v>
      </c>
      <c r="G146" s="21">
        <v>57.0</v>
      </c>
      <c r="H146" s="21" t="s">
        <v>67</v>
      </c>
      <c r="I146" s="22" t="s">
        <v>237</v>
      </c>
      <c r="J146" s="59">
        <v>600.0</v>
      </c>
      <c r="K146" s="21">
        <f t="shared" si="33"/>
        <v>0.095</v>
      </c>
      <c r="L146" s="24"/>
      <c r="M146" s="14"/>
      <c r="N146" s="14">
        <f>(N145+N144)*5</f>
        <v>2.3</v>
      </c>
      <c r="O146" s="14"/>
    </row>
    <row r="147">
      <c r="A147" s="34" t="s">
        <v>247</v>
      </c>
      <c r="B147" s="20">
        <f t="shared" si="31"/>
        <v>-0.1477272727</v>
      </c>
      <c r="C147" s="20">
        <f t="shared" si="32"/>
        <v>0.296</v>
      </c>
      <c r="D147" s="21">
        <v>88.0</v>
      </c>
      <c r="E147" s="21">
        <v>75.0</v>
      </c>
      <c r="F147" s="21">
        <v>75.0</v>
      </c>
      <c r="G147" s="21">
        <v>97.2</v>
      </c>
      <c r="H147" s="21" t="s">
        <v>67</v>
      </c>
      <c r="I147" s="22" t="s">
        <v>243</v>
      </c>
      <c r="J147" s="58">
        <v>1000.0</v>
      </c>
      <c r="K147" s="21">
        <f t="shared" si="33"/>
        <v>0.0972</v>
      </c>
      <c r="L147" s="24"/>
      <c r="M147" s="14"/>
      <c r="N147" s="60">
        <v>75.0</v>
      </c>
      <c r="O147" s="14"/>
    </row>
    <row r="148">
      <c r="A148" s="34" t="s">
        <v>248</v>
      </c>
      <c r="B148" s="20">
        <f t="shared" si="31"/>
        <v>-0.1099109911</v>
      </c>
      <c r="C148" s="20">
        <f t="shared" si="32"/>
        <v>0.1696629213</v>
      </c>
      <c r="D148" s="21">
        <v>99.99</v>
      </c>
      <c r="E148" s="21">
        <v>89.0</v>
      </c>
      <c r="F148" s="21">
        <v>89.0</v>
      </c>
      <c r="G148" s="21">
        <v>104.1</v>
      </c>
      <c r="H148" s="21" t="s">
        <v>67</v>
      </c>
      <c r="I148" s="22" t="s">
        <v>243</v>
      </c>
      <c r="J148" s="58">
        <v>1000.0</v>
      </c>
      <c r="K148" s="21">
        <f t="shared" si="33"/>
        <v>0.1041</v>
      </c>
      <c r="L148" s="24"/>
      <c r="M148" s="14"/>
      <c r="N148" s="14"/>
      <c r="O148" s="14"/>
    </row>
    <row r="149">
      <c r="A149" s="34" t="s">
        <v>249</v>
      </c>
      <c r="B149" s="20">
        <f t="shared" si="31"/>
        <v>-0.1882352941</v>
      </c>
      <c r="C149" s="20">
        <f t="shared" si="32"/>
        <v>-0.1179710145</v>
      </c>
      <c r="D149" s="21">
        <v>85.0</v>
      </c>
      <c r="E149" s="21">
        <v>69.0</v>
      </c>
      <c r="F149" s="21">
        <v>69.0</v>
      </c>
      <c r="G149" s="21">
        <v>60.86</v>
      </c>
      <c r="H149" s="21" t="s">
        <v>67</v>
      </c>
      <c r="I149" s="22" t="s">
        <v>250</v>
      </c>
      <c r="J149" s="58">
        <v>600.0</v>
      </c>
      <c r="K149" s="21">
        <f t="shared" si="33"/>
        <v>0.1014333333</v>
      </c>
      <c r="L149" s="24"/>
      <c r="M149" s="14"/>
      <c r="N149" s="14"/>
      <c r="O149" s="14"/>
    </row>
    <row r="150">
      <c r="A150" s="34" t="s">
        <v>251</v>
      </c>
      <c r="B150" s="20">
        <f t="shared" si="31"/>
        <v>-0.06796116505</v>
      </c>
      <c r="C150" s="20">
        <f t="shared" si="32"/>
        <v>-0.08</v>
      </c>
      <c r="D150" s="21">
        <v>51.5</v>
      </c>
      <c r="E150" s="21">
        <v>48.0</v>
      </c>
      <c r="F150" s="21">
        <v>48.0</v>
      </c>
      <c r="G150" s="21">
        <v>44.16</v>
      </c>
      <c r="H150" s="21" t="s">
        <v>67</v>
      </c>
      <c r="I150" s="22" t="s">
        <v>243</v>
      </c>
      <c r="J150" s="58">
        <v>1000.0</v>
      </c>
      <c r="K150" s="21">
        <f t="shared" si="33"/>
        <v>0.04416</v>
      </c>
      <c r="L150" s="24"/>
      <c r="M150" s="14"/>
      <c r="N150" s="14"/>
      <c r="O150" s="14"/>
    </row>
    <row r="151">
      <c r="A151" s="34" t="s">
        <v>252</v>
      </c>
      <c r="B151" s="20">
        <f t="shared" si="31"/>
        <v>-0.01261737089</v>
      </c>
      <c r="C151" s="20">
        <f t="shared" si="32"/>
        <v>0.5153046062</v>
      </c>
      <c r="D151" s="21">
        <v>34.08</v>
      </c>
      <c r="E151" s="21">
        <v>33.65</v>
      </c>
      <c r="F151" s="21">
        <v>33.65</v>
      </c>
      <c r="G151" s="21">
        <v>50.99</v>
      </c>
      <c r="H151" s="21" t="s">
        <v>67</v>
      </c>
      <c r="I151" s="22" t="s">
        <v>243</v>
      </c>
      <c r="J151" s="58">
        <v>1000.0</v>
      </c>
      <c r="K151" s="21">
        <f t="shared" si="33"/>
        <v>0.05099</v>
      </c>
      <c r="L151" s="24"/>
      <c r="M151" s="14"/>
      <c r="N151" s="14"/>
      <c r="O151" s="14"/>
    </row>
    <row r="152">
      <c r="A152" s="34" t="s">
        <v>253</v>
      </c>
      <c r="B152" s="20">
        <f t="shared" si="31"/>
        <v>-0.008095238095</v>
      </c>
      <c r="C152" s="20">
        <f t="shared" si="32"/>
        <v>0.008161305809</v>
      </c>
      <c r="D152" s="21">
        <v>63.0</v>
      </c>
      <c r="E152" s="21">
        <v>62.49</v>
      </c>
      <c r="F152" s="21">
        <v>62.49</v>
      </c>
      <c r="G152" s="21">
        <v>63.0</v>
      </c>
      <c r="H152" s="21" t="s">
        <v>67</v>
      </c>
      <c r="I152" s="22" t="s">
        <v>243</v>
      </c>
      <c r="J152" s="58">
        <v>1000.0</v>
      </c>
      <c r="K152" s="21">
        <f t="shared" si="33"/>
        <v>0.063</v>
      </c>
      <c r="L152" s="24"/>
      <c r="M152" s="14"/>
      <c r="N152" s="14"/>
      <c r="O152" s="14"/>
    </row>
    <row r="153">
      <c r="A153" s="6" t="s">
        <v>254</v>
      </c>
      <c r="B153" s="20">
        <f t="shared" si="31"/>
        <v>0.1142857143</v>
      </c>
      <c r="C153" s="20">
        <f t="shared" si="32"/>
        <v>0.2679487179</v>
      </c>
      <c r="D153" s="21">
        <v>35.0</v>
      </c>
      <c r="E153" s="21">
        <v>39.0</v>
      </c>
      <c r="F153" s="21">
        <v>39.0</v>
      </c>
      <c r="G153" s="21">
        <v>49.45</v>
      </c>
      <c r="H153" s="21" t="s">
        <v>67</v>
      </c>
      <c r="I153" s="22" t="s">
        <v>243</v>
      </c>
      <c r="J153" s="58">
        <v>1000.0</v>
      </c>
      <c r="K153" s="21">
        <f t="shared" si="33"/>
        <v>0.04945</v>
      </c>
      <c r="L153" s="24"/>
      <c r="M153" s="14"/>
      <c r="N153" s="14"/>
      <c r="O153" s="14"/>
    </row>
    <row r="154">
      <c r="A154" s="34" t="s">
        <v>255</v>
      </c>
      <c r="B154" s="20">
        <f t="shared" si="31"/>
        <v>-0.02002053388</v>
      </c>
      <c r="C154" s="20">
        <f t="shared" si="32"/>
        <v>0</v>
      </c>
      <c r="D154" s="21">
        <v>19.48</v>
      </c>
      <c r="E154" s="21">
        <v>19.09</v>
      </c>
      <c r="F154" s="21">
        <v>19.09</v>
      </c>
      <c r="G154" s="21">
        <v>19.09</v>
      </c>
      <c r="H154" s="21" t="s">
        <v>67</v>
      </c>
      <c r="I154" s="22" t="s">
        <v>243</v>
      </c>
      <c r="J154" s="58">
        <v>1000.0</v>
      </c>
      <c r="K154" s="21">
        <f t="shared" si="33"/>
        <v>0.01909</v>
      </c>
      <c r="L154" s="24"/>
      <c r="M154" s="14"/>
      <c r="N154" s="14"/>
      <c r="O154" s="14"/>
    </row>
    <row r="155">
      <c r="A155" s="61" t="s">
        <v>256</v>
      </c>
      <c r="B155" s="62">
        <f t="shared" si="31"/>
        <v>0.1101123596</v>
      </c>
      <c r="C155" s="62"/>
      <c r="D155" s="63">
        <v>8.9</v>
      </c>
      <c r="E155" s="63">
        <v>9.88</v>
      </c>
      <c r="F155" s="63">
        <v>9.88</v>
      </c>
      <c r="G155" s="63"/>
      <c r="H155" s="63" t="s">
        <v>67</v>
      </c>
      <c r="I155" s="64" t="s">
        <v>257</v>
      </c>
      <c r="J155" s="65">
        <v>400.0</v>
      </c>
      <c r="K155" s="63">
        <f t="shared" si="33"/>
        <v>0</v>
      </c>
      <c r="L155" s="66"/>
      <c r="M155" s="67"/>
      <c r="N155" s="67"/>
      <c r="O155" s="67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  <c r="AA155" s="68"/>
      <c r="AB155" s="68"/>
      <c r="AC155" s="68"/>
      <c r="AD155" s="68"/>
      <c r="AE155" s="68"/>
      <c r="AF155" s="68"/>
    </row>
    <row r="156">
      <c r="A156" s="34" t="s">
        <v>258</v>
      </c>
      <c r="B156" s="20">
        <f t="shared" si="31"/>
        <v>-0.06199123356</v>
      </c>
      <c r="C156" s="20">
        <f t="shared" ref="C156:C173" si="34">((G156-F156)/F156)</f>
        <v>0</v>
      </c>
      <c r="D156" s="21">
        <v>15.97</v>
      </c>
      <c r="E156" s="21">
        <v>14.98</v>
      </c>
      <c r="F156" s="21">
        <v>14.98</v>
      </c>
      <c r="G156" s="21">
        <v>14.98</v>
      </c>
      <c r="H156" s="21" t="s">
        <v>67</v>
      </c>
      <c r="I156" s="22" t="s">
        <v>257</v>
      </c>
      <c r="J156" s="58">
        <v>400.0</v>
      </c>
      <c r="K156" s="21">
        <f t="shared" si="33"/>
        <v>0.03745</v>
      </c>
      <c r="L156" s="24"/>
      <c r="M156" s="14"/>
      <c r="N156" s="14"/>
      <c r="O156" s="14"/>
    </row>
    <row r="157">
      <c r="A157" s="6" t="s">
        <v>259</v>
      </c>
      <c r="B157" s="20">
        <f t="shared" si="31"/>
        <v>-0.2623440043</v>
      </c>
      <c r="C157" s="20">
        <f t="shared" si="34"/>
        <v>0.06951084958</v>
      </c>
      <c r="D157" s="21">
        <v>36.86</v>
      </c>
      <c r="E157" s="21">
        <v>27.19</v>
      </c>
      <c r="F157" s="21">
        <v>27.19</v>
      </c>
      <c r="G157" s="21">
        <v>29.08</v>
      </c>
      <c r="H157" s="21" t="s">
        <v>67</v>
      </c>
      <c r="I157" s="22" t="s">
        <v>260</v>
      </c>
      <c r="J157" s="58">
        <v>4000.0</v>
      </c>
      <c r="K157" s="21">
        <f t="shared" si="33"/>
        <v>0.00727</v>
      </c>
      <c r="L157" s="24"/>
      <c r="M157" s="14"/>
      <c r="N157" s="14"/>
      <c r="O157" s="14"/>
    </row>
    <row r="158">
      <c r="A158" s="6" t="s">
        <v>261</v>
      </c>
      <c r="B158" s="20">
        <f t="shared" si="31"/>
        <v>-0.1253565769</v>
      </c>
      <c r="C158" s="20">
        <f t="shared" si="34"/>
        <v>-1</v>
      </c>
      <c r="D158" s="21">
        <v>63.1</v>
      </c>
      <c r="E158" s="21">
        <v>55.19</v>
      </c>
      <c r="F158" s="21">
        <v>55.19</v>
      </c>
      <c r="G158" s="24"/>
      <c r="H158" s="21" t="s">
        <v>67</v>
      </c>
      <c r="I158" s="22" t="s">
        <v>262</v>
      </c>
      <c r="J158" s="58">
        <v>1000.0</v>
      </c>
      <c r="K158" s="21">
        <f t="shared" si="33"/>
        <v>0</v>
      </c>
      <c r="L158" s="24"/>
      <c r="M158" s="14"/>
      <c r="N158" s="14"/>
      <c r="O158" s="14"/>
    </row>
    <row r="159">
      <c r="A159" s="34" t="s">
        <v>263</v>
      </c>
      <c r="B159" s="20">
        <f t="shared" si="31"/>
        <v>-0.02501876407</v>
      </c>
      <c r="C159" s="20">
        <f t="shared" si="34"/>
        <v>0.05132152938</v>
      </c>
      <c r="D159" s="21">
        <v>39.97</v>
      </c>
      <c r="E159" s="21">
        <v>38.97</v>
      </c>
      <c r="F159" s="21">
        <v>38.97</v>
      </c>
      <c r="G159" s="21">
        <v>40.97</v>
      </c>
      <c r="H159" s="21" t="s">
        <v>67</v>
      </c>
      <c r="I159" s="22" t="s">
        <v>264</v>
      </c>
      <c r="J159" s="58">
        <v>1000.0</v>
      </c>
      <c r="K159" s="21">
        <f t="shared" si="33"/>
        <v>0.04097</v>
      </c>
      <c r="L159" s="24"/>
      <c r="M159" s="14"/>
      <c r="N159" s="14"/>
      <c r="O159" s="14"/>
    </row>
    <row r="160">
      <c r="A160" s="6" t="s">
        <v>265</v>
      </c>
      <c r="B160" s="20">
        <f t="shared" si="31"/>
        <v>0</v>
      </c>
      <c r="C160" s="20">
        <f t="shared" si="34"/>
        <v>0</v>
      </c>
      <c r="D160" s="21">
        <v>14.99</v>
      </c>
      <c r="E160" s="21">
        <v>14.99</v>
      </c>
      <c r="F160" s="21">
        <v>14.99</v>
      </c>
      <c r="G160" s="21">
        <v>14.99</v>
      </c>
      <c r="H160" s="21" t="s">
        <v>67</v>
      </c>
      <c r="I160" s="22" t="s">
        <v>266</v>
      </c>
      <c r="J160" s="58">
        <v>125.0</v>
      </c>
      <c r="K160" s="21">
        <f t="shared" si="33"/>
        <v>0.11992</v>
      </c>
      <c r="L160" s="24"/>
      <c r="M160" s="14"/>
      <c r="N160" s="14"/>
      <c r="O160" s="14"/>
    </row>
    <row r="161">
      <c r="A161" s="6" t="s">
        <v>267</v>
      </c>
      <c r="B161" s="20">
        <f t="shared" si="31"/>
        <v>-0.4108396518</v>
      </c>
      <c r="C161" s="20">
        <f t="shared" si="34"/>
        <v>2.32221163</v>
      </c>
      <c r="D161" s="21">
        <v>35.61</v>
      </c>
      <c r="E161" s="21">
        <v>20.98</v>
      </c>
      <c r="F161" s="21">
        <v>20.98</v>
      </c>
      <c r="G161" s="21">
        <v>69.7</v>
      </c>
      <c r="H161" s="21" t="s">
        <v>67</v>
      </c>
      <c r="I161" s="22" t="s">
        <v>268</v>
      </c>
      <c r="J161" s="58">
        <v>2000.0</v>
      </c>
      <c r="K161" s="21">
        <f t="shared" si="33"/>
        <v>0.03485</v>
      </c>
      <c r="L161" s="24"/>
      <c r="M161" s="14"/>
      <c r="N161" s="14"/>
      <c r="O161" s="14"/>
    </row>
    <row r="162">
      <c r="A162" s="6" t="s">
        <v>269</v>
      </c>
      <c r="B162" s="20">
        <f t="shared" si="31"/>
        <v>-0.1900316719</v>
      </c>
      <c r="C162" s="20">
        <f t="shared" si="34"/>
        <v>0.008437950196</v>
      </c>
      <c r="D162" s="21">
        <v>59.99</v>
      </c>
      <c r="E162" s="21">
        <v>48.59</v>
      </c>
      <c r="F162" s="21">
        <v>48.59</v>
      </c>
      <c r="G162" s="21">
        <v>49.0</v>
      </c>
      <c r="H162" s="21" t="s">
        <v>67</v>
      </c>
      <c r="I162" s="22" t="s">
        <v>243</v>
      </c>
      <c r="J162" s="58">
        <v>1000.0</v>
      </c>
      <c r="K162" s="21">
        <f t="shared" si="33"/>
        <v>0.049</v>
      </c>
      <c r="L162" s="24"/>
      <c r="M162" s="14"/>
      <c r="N162" s="14"/>
      <c r="O162" s="14"/>
    </row>
    <row r="163">
      <c r="A163" s="6" t="s">
        <v>270</v>
      </c>
      <c r="B163" s="20">
        <f t="shared" si="31"/>
        <v>0.2890625</v>
      </c>
      <c r="C163" s="20">
        <f t="shared" si="34"/>
        <v>-0.2642424242</v>
      </c>
      <c r="D163" s="21">
        <v>32.0</v>
      </c>
      <c r="E163" s="21">
        <v>41.25</v>
      </c>
      <c r="F163" s="21">
        <v>41.25</v>
      </c>
      <c r="G163" s="21">
        <v>30.35</v>
      </c>
      <c r="H163" s="21" t="s">
        <v>67</v>
      </c>
      <c r="I163" s="22" t="s">
        <v>271</v>
      </c>
      <c r="J163" s="58">
        <v>2500.0</v>
      </c>
      <c r="K163" s="21">
        <f t="shared" si="33"/>
        <v>0.01214</v>
      </c>
      <c r="L163" s="24"/>
      <c r="M163" s="14"/>
      <c r="N163" s="14"/>
      <c r="O163" s="14"/>
    </row>
    <row r="164">
      <c r="A164" s="6" t="s">
        <v>272</v>
      </c>
      <c r="B164" s="20">
        <f t="shared" si="31"/>
        <v>-0.1315789474</v>
      </c>
      <c r="C164" s="20">
        <f t="shared" si="34"/>
        <v>0.06666666667</v>
      </c>
      <c r="D164" s="21">
        <v>34.2</v>
      </c>
      <c r="E164" s="21">
        <v>29.7</v>
      </c>
      <c r="F164" s="21">
        <v>29.7</v>
      </c>
      <c r="G164" s="21">
        <v>31.68</v>
      </c>
      <c r="H164" s="21" t="s">
        <v>67</v>
      </c>
      <c r="I164" s="22" t="s">
        <v>271</v>
      </c>
      <c r="J164" s="58">
        <v>2500.0</v>
      </c>
      <c r="K164" s="21">
        <f t="shared" si="33"/>
        <v>0.012672</v>
      </c>
      <c r="L164" s="24"/>
      <c r="M164" s="14"/>
      <c r="N164" s="14"/>
      <c r="O164" s="14"/>
    </row>
    <row r="165">
      <c r="A165" s="6" t="s">
        <v>273</v>
      </c>
      <c r="B165" s="20">
        <f t="shared" si="31"/>
        <v>0</v>
      </c>
      <c r="C165" s="20">
        <f t="shared" si="34"/>
        <v>-0.299822695</v>
      </c>
      <c r="D165" s="21">
        <v>56.4</v>
      </c>
      <c r="E165" s="21">
        <v>56.4</v>
      </c>
      <c r="F165" s="21">
        <v>56.4</v>
      </c>
      <c r="G165" s="21">
        <v>39.49</v>
      </c>
      <c r="H165" s="21" t="s">
        <v>274</v>
      </c>
      <c r="I165" s="22" t="s">
        <v>275</v>
      </c>
      <c r="J165" s="58">
        <v>250.0</v>
      </c>
      <c r="K165" s="21">
        <f t="shared" si="33"/>
        <v>0.15796</v>
      </c>
      <c r="L165" s="24"/>
      <c r="M165" s="14"/>
      <c r="N165" s="14"/>
      <c r="O165" s="14"/>
    </row>
    <row r="166">
      <c r="A166" s="6" t="s">
        <v>276</v>
      </c>
      <c r="B166" s="20">
        <f t="shared" si="31"/>
        <v>0</v>
      </c>
      <c r="C166" s="20">
        <f t="shared" si="34"/>
        <v>-0.09204712813</v>
      </c>
      <c r="D166" s="21">
        <v>40.74</v>
      </c>
      <c r="E166" s="21">
        <v>40.74</v>
      </c>
      <c r="F166" s="21">
        <v>40.74</v>
      </c>
      <c r="G166" s="21">
        <v>36.99</v>
      </c>
      <c r="H166" s="21" t="s">
        <v>274</v>
      </c>
      <c r="I166" s="22" t="s">
        <v>275</v>
      </c>
      <c r="J166" s="58">
        <v>250.0</v>
      </c>
      <c r="K166" s="21">
        <f t="shared" si="33"/>
        <v>0.14796</v>
      </c>
      <c r="L166" s="24"/>
      <c r="M166" s="14"/>
      <c r="N166" s="14"/>
      <c r="O166" s="14"/>
    </row>
    <row r="167">
      <c r="A167" s="6" t="s">
        <v>277</v>
      </c>
      <c r="B167" s="20">
        <f t="shared" si="31"/>
        <v>-0.1253840527</v>
      </c>
      <c r="C167" s="20">
        <f t="shared" si="34"/>
        <v>0</v>
      </c>
      <c r="D167" s="21">
        <v>68.35</v>
      </c>
      <c r="E167" s="21">
        <v>59.78</v>
      </c>
      <c r="F167" s="21">
        <v>59.78</v>
      </c>
      <c r="G167" s="21">
        <v>59.78</v>
      </c>
      <c r="H167" s="21" t="s">
        <v>67</v>
      </c>
      <c r="I167" s="22" t="s">
        <v>278</v>
      </c>
      <c r="J167" s="58">
        <v>200.0</v>
      </c>
      <c r="K167" s="21">
        <f t="shared" si="33"/>
        <v>0.2989</v>
      </c>
      <c r="L167" s="24"/>
      <c r="M167" s="14"/>
      <c r="N167" s="14"/>
      <c r="O167" s="14"/>
    </row>
    <row r="168">
      <c r="A168" s="6" t="s">
        <v>279</v>
      </c>
      <c r="B168" s="20">
        <f t="shared" si="31"/>
        <v>0.09833024119</v>
      </c>
      <c r="C168" s="20">
        <f t="shared" si="34"/>
        <v>0.08614864865</v>
      </c>
      <c r="D168" s="21">
        <v>5.39</v>
      </c>
      <c r="E168" s="21">
        <v>5.92</v>
      </c>
      <c r="F168" s="21">
        <v>5.92</v>
      </c>
      <c r="G168" s="21">
        <v>6.43</v>
      </c>
      <c r="H168" s="21" t="s">
        <v>67</v>
      </c>
      <c r="I168" s="22" t="s">
        <v>268</v>
      </c>
      <c r="J168" s="58">
        <v>2000.0</v>
      </c>
      <c r="K168" s="21">
        <f t="shared" si="33"/>
        <v>0.003215</v>
      </c>
      <c r="L168" s="24"/>
      <c r="M168" s="14"/>
      <c r="N168" s="14"/>
      <c r="O168" s="14"/>
    </row>
    <row r="169">
      <c r="A169" s="6" t="s">
        <v>280</v>
      </c>
      <c r="B169" s="20">
        <f t="shared" si="31"/>
        <v>-0.1191191191</v>
      </c>
      <c r="C169" s="20">
        <f t="shared" si="34"/>
        <v>-0.01681818182</v>
      </c>
      <c r="D169" s="21">
        <v>49.95</v>
      </c>
      <c r="E169" s="21">
        <v>44.0</v>
      </c>
      <c r="F169" s="21">
        <v>44.0</v>
      </c>
      <c r="G169" s="21">
        <v>43.26</v>
      </c>
      <c r="H169" s="21" t="s">
        <v>67</v>
      </c>
      <c r="I169" s="22">
        <v>300.0</v>
      </c>
      <c r="J169" s="58">
        <v>300.0</v>
      </c>
      <c r="K169" s="21">
        <f t="shared" si="33"/>
        <v>0.1442</v>
      </c>
      <c r="L169" s="24"/>
      <c r="M169" s="14"/>
      <c r="N169" s="14"/>
      <c r="O169" s="14"/>
    </row>
    <row r="170">
      <c r="A170" s="69" t="s">
        <v>281</v>
      </c>
      <c r="B170" s="20">
        <f t="shared" si="31"/>
        <v>0.05130836326</v>
      </c>
      <c r="C170" s="20">
        <f t="shared" si="34"/>
        <v>0.04880429478</v>
      </c>
      <c r="D170" s="21">
        <v>19.49</v>
      </c>
      <c r="E170" s="21">
        <v>20.49</v>
      </c>
      <c r="F170" s="21">
        <v>20.49</v>
      </c>
      <c r="G170" s="21">
        <v>21.49</v>
      </c>
      <c r="H170" s="6" t="s">
        <v>67</v>
      </c>
      <c r="I170" s="22" t="s">
        <v>243</v>
      </c>
      <c r="J170" s="23">
        <v>1000.0</v>
      </c>
      <c r="K170" s="21">
        <f t="shared" si="33"/>
        <v>0.02149</v>
      </c>
      <c r="L170" s="24"/>
      <c r="M170" s="14"/>
      <c r="N170" s="14"/>
      <c r="O170" s="14"/>
    </row>
    <row r="171">
      <c r="A171" s="69" t="s">
        <v>282</v>
      </c>
      <c r="B171" s="20">
        <f t="shared" si="31"/>
        <v>0.05130836326</v>
      </c>
      <c r="C171" s="20">
        <f t="shared" si="34"/>
        <v>0.04880429478</v>
      </c>
      <c r="D171" s="21">
        <v>19.49</v>
      </c>
      <c r="E171" s="21">
        <v>20.49</v>
      </c>
      <c r="F171" s="21">
        <v>20.49</v>
      </c>
      <c r="G171" s="21">
        <v>21.49</v>
      </c>
      <c r="H171" s="6" t="s">
        <v>67</v>
      </c>
      <c r="I171" s="22" t="s">
        <v>243</v>
      </c>
      <c r="J171" s="23">
        <v>1000.0</v>
      </c>
      <c r="K171" s="21">
        <f t="shared" si="33"/>
        <v>0.02149</v>
      </c>
      <c r="L171" s="24"/>
      <c r="M171" s="14"/>
      <c r="N171" s="14"/>
      <c r="O171" s="14"/>
    </row>
    <row r="172">
      <c r="A172" s="69" t="s">
        <v>283</v>
      </c>
      <c r="B172" s="20">
        <f t="shared" si="31"/>
        <v>0.05130836326</v>
      </c>
      <c r="C172" s="20">
        <f t="shared" si="34"/>
        <v>0.04880429478</v>
      </c>
      <c r="D172" s="21">
        <v>19.49</v>
      </c>
      <c r="E172" s="21">
        <v>20.49</v>
      </c>
      <c r="F172" s="21">
        <v>20.49</v>
      </c>
      <c r="G172" s="21">
        <v>21.49</v>
      </c>
      <c r="H172" s="6" t="s">
        <v>67</v>
      </c>
      <c r="I172" s="22" t="s">
        <v>243</v>
      </c>
      <c r="J172" s="23">
        <v>1000.0</v>
      </c>
      <c r="K172" s="21">
        <f t="shared" si="33"/>
        <v>0.02149</v>
      </c>
      <c r="L172" s="24"/>
      <c r="M172" s="14"/>
      <c r="N172" s="14"/>
      <c r="O172" s="14"/>
    </row>
    <row r="173">
      <c r="A173" s="6" t="s">
        <v>284</v>
      </c>
      <c r="B173" s="20">
        <f t="shared" si="31"/>
        <v>0</v>
      </c>
      <c r="C173" s="20">
        <f t="shared" si="34"/>
        <v>-0.1884859593</v>
      </c>
      <c r="D173" s="21">
        <v>305.54</v>
      </c>
      <c r="E173" s="21">
        <v>305.54</v>
      </c>
      <c r="F173" s="21">
        <v>305.54</v>
      </c>
      <c r="G173" s="21">
        <v>247.95</v>
      </c>
      <c r="H173" s="6" t="s">
        <v>116</v>
      </c>
      <c r="I173" s="22" t="s">
        <v>285</v>
      </c>
      <c r="J173" s="23">
        <v>5000.0</v>
      </c>
      <c r="K173" s="21">
        <f t="shared" si="33"/>
        <v>0.04959</v>
      </c>
      <c r="L173" s="24"/>
      <c r="M173" s="14"/>
      <c r="N173" s="14"/>
      <c r="O173" s="14"/>
    </row>
    <row r="174">
      <c r="A174" s="52"/>
      <c r="B174" s="20"/>
      <c r="C174" s="20"/>
      <c r="D174" s="24"/>
      <c r="G174" s="24"/>
      <c r="I174" s="18"/>
      <c r="J174" s="19"/>
      <c r="K174" s="21"/>
      <c r="L174" s="24"/>
      <c r="M174" s="14"/>
      <c r="N174" s="14"/>
      <c r="O174" s="14"/>
    </row>
    <row r="175">
      <c r="A175" s="7" t="s">
        <v>18</v>
      </c>
      <c r="B175" s="70"/>
      <c r="C175" s="70"/>
      <c r="D175" s="71"/>
      <c r="E175" s="71"/>
      <c r="F175" s="71"/>
      <c r="G175" s="71"/>
      <c r="H175" s="8"/>
      <c r="I175" s="11"/>
      <c r="J175" s="12"/>
      <c r="K175" s="72"/>
      <c r="L175" s="71"/>
      <c r="M175" s="13"/>
      <c r="N175" s="13"/>
      <c r="O175" s="13"/>
    </row>
    <row r="176">
      <c r="A176" s="15" t="s">
        <v>286</v>
      </c>
      <c r="B176" s="20"/>
      <c r="C176" s="20"/>
      <c r="D176" s="54"/>
      <c r="E176" s="54"/>
      <c r="F176" s="54"/>
      <c r="G176" s="24"/>
      <c r="H176" s="15"/>
      <c r="I176" s="55"/>
      <c r="J176" s="56"/>
      <c r="K176" s="21"/>
      <c r="L176" s="15"/>
      <c r="M176" s="57"/>
      <c r="N176" s="57"/>
      <c r="O176" s="57"/>
    </row>
    <row r="177">
      <c r="A177" s="6" t="s">
        <v>287</v>
      </c>
      <c r="B177" s="20">
        <f t="shared" ref="B177:B197" si="35">((E177-D177)/D177)</f>
        <v>0</v>
      </c>
      <c r="C177" s="20">
        <f t="shared" ref="C177:C197" si="36">((G177-F177)/F177)</f>
        <v>0.2500625156</v>
      </c>
      <c r="D177" s="21">
        <v>39.99</v>
      </c>
      <c r="E177" s="21">
        <v>39.99</v>
      </c>
      <c r="F177" s="21">
        <v>39.99</v>
      </c>
      <c r="G177" s="21">
        <v>49.99</v>
      </c>
      <c r="H177" s="6" t="s">
        <v>67</v>
      </c>
      <c r="I177" s="22">
        <v>1000.0</v>
      </c>
      <c r="J177" s="23">
        <v>1000.0</v>
      </c>
      <c r="K177" s="21">
        <f t="shared" ref="K177:K197" si="37">G177/J177</f>
        <v>0.04999</v>
      </c>
      <c r="L177" s="24"/>
      <c r="M177" s="14"/>
      <c r="N177" s="14"/>
      <c r="O177" s="14"/>
    </row>
    <row r="178">
      <c r="A178" s="6" t="s">
        <v>288</v>
      </c>
      <c r="B178" s="20">
        <f t="shared" si="35"/>
        <v>-0.1177163037</v>
      </c>
      <c r="C178" s="20">
        <f t="shared" si="36"/>
        <v>-0.05003335557</v>
      </c>
      <c r="D178" s="21">
        <v>16.99</v>
      </c>
      <c r="E178" s="21">
        <v>14.99</v>
      </c>
      <c r="F178" s="21">
        <v>14.99</v>
      </c>
      <c r="G178" s="21">
        <v>14.24</v>
      </c>
      <c r="H178" s="6" t="s">
        <v>67</v>
      </c>
      <c r="I178" s="22" t="s">
        <v>289</v>
      </c>
      <c r="J178" s="23">
        <v>50.0</v>
      </c>
      <c r="K178" s="21">
        <f t="shared" si="37"/>
        <v>0.2848</v>
      </c>
      <c r="L178" s="24"/>
      <c r="M178" s="14"/>
      <c r="N178" s="14"/>
      <c r="O178" s="14"/>
    </row>
    <row r="179">
      <c r="A179" s="6" t="s">
        <v>290</v>
      </c>
      <c r="B179" s="20">
        <f t="shared" si="35"/>
        <v>0</v>
      </c>
      <c r="C179" s="20">
        <f t="shared" si="36"/>
        <v>0</v>
      </c>
      <c r="D179" s="21">
        <v>49.99</v>
      </c>
      <c r="E179" s="21">
        <v>49.99</v>
      </c>
      <c r="F179" s="21">
        <v>49.99</v>
      </c>
      <c r="G179" s="21">
        <v>49.99</v>
      </c>
      <c r="H179" s="6" t="s">
        <v>67</v>
      </c>
      <c r="I179" s="22">
        <v>2000.0</v>
      </c>
      <c r="J179" s="38">
        <v>2000.0</v>
      </c>
      <c r="K179" s="21">
        <f t="shared" si="37"/>
        <v>0.024995</v>
      </c>
      <c r="L179" s="24"/>
      <c r="M179" s="14"/>
      <c r="N179" s="14"/>
      <c r="O179" s="14"/>
    </row>
    <row r="180">
      <c r="A180" s="34" t="s">
        <v>291</v>
      </c>
      <c r="B180" s="20">
        <f t="shared" si="35"/>
        <v>0.002162162162</v>
      </c>
      <c r="C180" s="20">
        <f t="shared" si="36"/>
        <v>-0.06796116505</v>
      </c>
      <c r="D180" s="21">
        <v>37.0</v>
      </c>
      <c r="E180" s="21">
        <v>37.08</v>
      </c>
      <c r="F180" s="21">
        <v>37.08</v>
      </c>
      <c r="G180" s="21">
        <v>34.56</v>
      </c>
      <c r="H180" s="6" t="s">
        <v>67</v>
      </c>
      <c r="I180" s="22">
        <v>250.0</v>
      </c>
      <c r="J180" s="38">
        <v>250.0</v>
      </c>
      <c r="K180" s="21">
        <f t="shared" si="37"/>
        <v>0.13824</v>
      </c>
      <c r="L180" s="24"/>
      <c r="M180" s="14"/>
      <c r="N180" s="14"/>
      <c r="O180" s="14"/>
    </row>
    <row r="181">
      <c r="A181" s="34" t="s">
        <v>292</v>
      </c>
      <c r="B181" s="20">
        <f t="shared" si="35"/>
        <v>0.05339285714</v>
      </c>
      <c r="C181" s="20">
        <f t="shared" si="36"/>
        <v>-0.1101881675</v>
      </c>
      <c r="D181" s="21">
        <v>56.0</v>
      </c>
      <c r="E181" s="21">
        <v>58.99</v>
      </c>
      <c r="F181" s="21">
        <v>58.99</v>
      </c>
      <c r="G181" s="21">
        <v>52.49</v>
      </c>
      <c r="H181" s="6" t="s">
        <v>67</v>
      </c>
      <c r="I181" s="22">
        <v>250.0</v>
      </c>
      <c r="J181" s="22">
        <v>250.0</v>
      </c>
      <c r="K181" s="21">
        <f t="shared" si="37"/>
        <v>0.20996</v>
      </c>
      <c r="L181" s="24"/>
      <c r="M181" s="14"/>
      <c r="N181" s="14"/>
      <c r="O181" s="14"/>
    </row>
    <row r="182">
      <c r="A182" s="6" t="s">
        <v>293</v>
      </c>
      <c r="B182" s="20">
        <f t="shared" si="35"/>
        <v>0</v>
      </c>
      <c r="C182" s="20">
        <f t="shared" si="36"/>
        <v>-0.01538461538</v>
      </c>
      <c r="D182" s="21">
        <v>1.3</v>
      </c>
      <c r="E182" s="21">
        <v>1.3</v>
      </c>
      <c r="F182" s="21">
        <v>1.3</v>
      </c>
      <c r="G182" s="21">
        <v>1.28</v>
      </c>
      <c r="H182" s="6" t="s">
        <v>28</v>
      </c>
      <c r="I182" s="22">
        <v>1.0</v>
      </c>
      <c r="J182" s="23">
        <v>64.0</v>
      </c>
      <c r="K182" s="21">
        <f t="shared" si="37"/>
        <v>0.02</v>
      </c>
      <c r="L182" s="24"/>
      <c r="M182" s="14"/>
      <c r="N182" s="14"/>
      <c r="O182" s="14"/>
    </row>
    <row r="183">
      <c r="A183" s="6" t="s">
        <v>294</v>
      </c>
      <c r="B183" s="20">
        <f t="shared" si="35"/>
        <v>0.003627569528</v>
      </c>
      <c r="C183" s="20">
        <f t="shared" si="36"/>
        <v>0.2015060241</v>
      </c>
      <c r="D183" s="21">
        <v>33.08</v>
      </c>
      <c r="E183" s="21">
        <v>33.2</v>
      </c>
      <c r="F183" s="21">
        <v>33.2</v>
      </c>
      <c r="G183" s="21">
        <v>39.89</v>
      </c>
      <c r="H183" s="6" t="s">
        <v>67</v>
      </c>
      <c r="I183" s="22" t="s">
        <v>295</v>
      </c>
      <c r="J183" s="23">
        <v>256.0</v>
      </c>
      <c r="K183" s="21">
        <f t="shared" si="37"/>
        <v>0.1558203125</v>
      </c>
      <c r="L183" s="24"/>
      <c r="M183" s="14"/>
      <c r="N183" s="14"/>
      <c r="O183" s="14"/>
    </row>
    <row r="184">
      <c r="A184" s="6" t="s">
        <v>296</v>
      </c>
      <c r="B184" s="20">
        <f t="shared" si="35"/>
        <v>-0.000956937799</v>
      </c>
      <c r="C184" s="20">
        <f t="shared" si="36"/>
        <v>0.02394636015</v>
      </c>
      <c r="D184" s="21">
        <v>10.45</v>
      </c>
      <c r="E184" s="21">
        <v>10.44</v>
      </c>
      <c r="F184" s="21">
        <v>10.44</v>
      </c>
      <c r="G184" s="21">
        <v>10.69</v>
      </c>
      <c r="H184" s="6" t="s">
        <v>67</v>
      </c>
      <c r="I184" s="22">
        <v>1.0</v>
      </c>
      <c r="J184" s="23">
        <v>1.0</v>
      </c>
      <c r="K184" s="21">
        <f t="shared" si="37"/>
        <v>10.69</v>
      </c>
      <c r="L184" s="24"/>
      <c r="M184" s="14"/>
      <c r="N184" s="14"/>
      <c r="O184" s="14"/>
    </row>
    <row r="185">
      <c r="A185" s="73" t="s">
        <v>297</v>
      </c>
      <c r="B185" s="20">
        <f t="shared" si="35"/>
        <v>0</v>
      </c>
      <c r="C185" s="20">
        <f t="shared" si="36"/>
        <v>-0.01014370245</v>
      </c>
      <c r="D185" s="21">
        <v>11.83</v>
      </c>
      <c r="E185" s="21">
        <v>11.83</v>
      </c>
      <c r="F185" s="21">
        <v>11.83</v>
      </c>
      <c r="G185" s="21">
        <v>11.71</v>
      </c>
      <c r="H185" s="6" t="s">
        <v>67</v>
      </c>
      <c r="I185" s="22">
        <v>1.0</v>
      </c>
      <c r="J185" s="23">
        <v>4.0</v>
      </c>
      <c r="K185" s="21">
        <f t="shared" si="37"/>
        <v>2.9275</v>
      </c>
      <c r="L185" s="24"/>
      <c r="M185" s="14"/>
      <c r="N185" s="14"/>
      <c r="O185" s="14"/>
    </row>
    <row r="186">
      <c r="A186" s="6" t="s">
        <v>298</v>
      </c>
      <c r="B186" s="20">
        <f t="shared" si="35"/>
        <v>0</v>
      </c>
      <c r="C186" s="20">
        <f t="shared" si="36"/>
        <v>0</v>
      </c>
      <c r="D186" s="21">
        <v>19.99</v>
      </c>
      <c r="E186" s="21">
        <v>19.99</v>
      </c>
      <c r="F186" s="21">
        <v>19.99</v>
      </c>
      <c r="G186" s="21">
        <v>19.99</v>
      </c>
      <c r="H186" s="6" t="s">
        <v>67</v>
      </c>
      <c r="I186" s="22">
        <v>30.0</v>
      </c>
      <c r="J186" s="23">
        <v>30.0</v>
      </c>
      <c r="K186" s="21">
        <f t="shared" si="37"/>
        <v>0.6663333333</v>
      </c>
      <c r="L186" s="24"/>
      <c r="M186" s="14"/>
      <c r="N186" s="14"/>
      <c r="O186" s="14"/>
    </row>
    <row r="187">
      <c r="A187" s="6" t="s">
        <v>299</v>
      </c>
      <c r="B187" s="20">
        <f t="shared" si="35"/>
        <v>0</v>
      </c>
      <c r="C187" s="20">
        <f t="shared" si="36"/>
        <v>-0.05006257822</v>
      </c>
      <c r="D187" s="21">
        <v>7.99</v>
      </c>
      <c r="E187" s="21">
        <v>7.99</v>
      </c>
      <c r="F187" s="21">
        <v>7.99</v>
      </c>
      <c r="G187" s="21">
        <v>7.59</v>
      </c>
      <c r="H187" s="6" t="s">
        <v>67</v>
      </c>
      <c r="I187" s="22">
        <v>12.0</v>
      </c>
      <c r="J187" s="23">
        <v>12.0</v>
      </c>
      <c r="K187" s="21">
        <f t="shared" si="37"/>
        <v>0.6325</v>
      </c>
      <c r="L187" s="24"/>
      <c r="M187" s="14"/>
      <c r="N187" s="14"/>
      <c r="O187" s="14"/>
    </row>
    <row r="188">
      <c r="A188" s="6" t="s">
        <v>300</v>
      </c>
      <c r="B188" s="20">
        <f t="shared" si="35"/>
        <v>-0.004566210046</v>
      </c>
      <c r="C188" s="20">
        <f t="shared" si="36"/>
        <v>0.09633027523</v>
      </c>
      <c r="D188" s="21">
        <v>32.85</v>
      </c>
      <c r="E188" s="21">
        <v>32.7</v>
      </c>
      <c r="F188" s="21">
        <v>32.7</v>
      </c>
      <c r="G188" s="21">
        <v>35.85</v>
      </c>
      <c r="H188" s="6" t="s">
        <v>67</v>
      </c>
      <c r="I188" s="22" t="s">
        <v>301</v>
      </c>
      <c r="J188" s="23">
        <v>12.0</v>
      </c>
      <c r="K188" s="21">
        <f t="shared" si="37"/>
        <v>2.9875</v>
      </c>
      <c r="L188" s="24"/>
      <c r="M188" s="14"/>
      <c r="N188" s="14"/>
      <c r="O188" s="14"/>
    </row>
    <row r="189">
      <c r="A189" s="6" t="s">
        <v>302</v>
      </c>
      <c r="B189" s="20">
        <f t="shared" si="35"/>
        <v>-0.004566210046</v>
      </c>
      <c r="C189" s="20">
        <f t="shared" si="36"/>
        <v>-0.095</v>
      </c>
      <c r="D189" s="21">
        <v>32.85</v>
      </c>
      <c r="E189" s="21">
        <v>32.7</v>
      </c>
      <c r="F189" s="21">
        <v>4.0</v>
      </c>
      <c r="G189" s="21">
        <v>3.62</v>
      </c>
      <c r="H189" s="6" t="s">
        <v>67</v>
      </c>
      <c r="I189" s="22" t="s">
        <v>303</v>
      </c>
      <c r="J189" s="23">
        <v>48.0</v>
      </c>
      <c r="K189" s="21">
        <f t="shared" si="37"/>
        <v>0.07541666667</v>
      </c>
      <c r="L189" s="24"/>
      <c r="M189" s="14"/>
      <c r="N189" s="14"/>
      <c r="O189" s="14"/>
    </row>
    <row r="190">
      <c r="A190" s="73" t="s">
        <v>304</v>
      </c>
      <c r="B190" s="20">
        <f t="shared" si="35"/>
        <v>0.08474576271</v>
      </c>
      <c r="C190" s="20">
        <f t="shared" si="36"/>
        <v>0.2303125</v>
      </c>
      <c r="D190" s="21">
        <v>29.5</v>
      </c>
      <c r="E190" s="21">
        <v>32.0</v>
      </c>
      <c r="F190" s="21">
        <v>32.0</v>
      </c>
      <c r="G190" s="21">
        <v>39.37</v>
      </c>
      <c r="H190" s="6" t="s">
        <v>67</v>
      </c>
      <c r="I190" s="22" t="s">
        <v>305</v>
      </c>
      <c r="J190" s="23">
        <v>6.0</v>
      </c>
      <c r="K190" s="21">
        <f t="shared" si="37"/>
        <v>6.561666667</v>
      </c>
      <c r="L190" s="24"/>
      <c r="M190" s="14"/>
      <c r="N190" s="14"/>
      <c r="O190" s="14"/>
    </row>
    <row r="191">
      <c r="A191" s="6" t="s">
        <v>306</v>
      </c>
      <c r="B191" s="20">
        <f t="shared" si="35"/>
        <v>0.1166837257</v>
      </c>
      <c r="C191" s="20">
        <f t="shared" si="36"/>
        <v>-0.08707607699</v>
      </c>
      <c r="D191" s="21">
        <v>9.77</v>
      </c>
      <c r="E191" s="21">
        <v>10.91</v>
      </c>
      <c r="F191" s="21">
        <v>10.91</v>
      </c>
      <c r="G191" s="21">
        <v>9.96</v>
      </c>
      <c r="H191" s="6" t="s">
        <v>67</v>
      </c>
      <c r="I191" s="22">
        <v>36.0</v>
      </c>
      <c r="J191" s="23">
        <v>36.0</v>
      </c>
      <c r="K191" s="21">
        <f t="shared" si="37"/>
        <v>0.2766666667</v>
      </c>
      <c r="L191" s="24"/>
      <c r="M191" s="14"/>
      <c r="N191" s="14"/>
      <c r="O191" s="14"/>
    </row>
    <row r="192">
      <c r="A192" s="6" t="s">
        <v>307</v>
      </c>
      <c r="B192" s="20">
        <f t="shared" si="35"/>
        <v>0.005677210057</v>
      </c>
      <c r="C192" s="20">
        <f t="shared" si="36"/>
        <v>-0.06093189964</v>
      </c>
      <c r="D192" s="21">
        <v>36.99</v>
      </c>
      <c r="E192" s="21">
        <v>37.2</v>
      </c>
      <c r="F192" s="21">
        <f>37.2*0.75</f>
        <v>27.9</v>
      </c>
      <c r="G192" s="21">
        <v>26.2</v>
      </c>
      <c r="H192" s="6" t="s">
        <v>67</v>
      </c>
      <c r="I192" s="22">
        <f>3*150</f>
        <v>450</v>
      </c>
      <c r="J192" s="23">
        <v>450.0</v>
      </c>
      <c r="K192" s="21">
        <f t="shared" si="37"/>
        <v>0.05822222222</v>
      </c>
      <c r="L192" s="24"/>
      <c r="M192" s="14"/>
      <c r="N192" s="14"/>
      <c r="O192" s="14"/>
    </row>
    <row r="193">
      <c r="A193" s="74" t="s">
        <v>308</v>
      </c>
      <c r="B193" s="62">
        <f t="shared" si="35"/>
        <v>0.3776595745</v>
      </c>
      <c r="C193" s="62">
        <f t="shared" si="36"/>
        <v>0</v>
      </c>
      <c r="D193" s="63">
        <v>5.64</v>
      </c>
      <c r="E193" s="63">
        <v>7.77</v>
      </c>
      <c r="F193" s="63">
        <v>7.77</v>
      </c>
      <c r="G193" s="63">
        <v>7.77</v>
      </c>
      <c r="H193" s="74" t="s">
        <v>67</v>
      </c>
      <c r="I193" s="64">
        <v>57.0</v>
      </c>
      <c r="J193" s="75">
        <v>57.0</v>
      </c>
      <c r="K193" s="63">
        <f t="shared" si="37"/>
        <v>0.1363157895</v>
      </c>
      <c r="L193" s="24"/>
      <c r="M193" s="14"/>
      <c r="N193" s="14"/>
      <c r="O193" s="14"/>
    </row>
    <row r="194">
      <c r="A194" s="6" t="s">
        <v>309</v>
      </c>
      <c r="B194" s="20">
        <f t="shared" si="35"/>
        <v>0.09768009768</v>
      </c>
      <c r="C194" s="20">
        <f t="shared" si="36"/>
        <v>0</v>
      </c>
      <c r="D194" s="21">
        <v>8.19</v>
      </c>
      <c r="E194" s="21">
        <v>8.99</v>
      </c>
      <c r="F194" s="21">
        <v>8.99</v>
      </c>
      <c r="G194" s="21">
        <v>8.99</v>
      </c>
      <c r="H194" s="6" t="s">
        <v>155</v>
      </c>
      <c r="I194" s="22">
        <v>102.0</v>
      </c>
      <c r="J194" s="23">
        <v>102.0</v>
      </c>
      <c r="K194" s="21">
        <f t="shared" si="37"/>
        <v>0.0881372549</v>
      </c>
      <c r="L194" s="24"/>
      <c r="M194" s="14"/>
      <c r="N194" s="14"/>
      <c r="O194" s="14"/>
    </row>
    <row r="195">
      <c r="A195" s="69" t="s">
        <v>310</v>
      </c>
      <c r="B195" s="20">
        <f t="shared" si="35"/>
        <v>0.05333333333</v>
      </c>
      <c r="C195" s="20">
        <f t="shared" si="36"/>
        <v>0.2113924051</v>
      </c>
      <c r="D195" s="21">
        <v>7.5</v>
      </c>
      <c r="E195" s="21">
        <v>7.9</v>
      </c>
      <c r="F195" s="21">
        <v>7.9</v>
      </c>
      <c r="G195" s="21">
        <v>9.57</v>
      </c>
      <c r="H195" s="6" t="s">
        <v>67</v>
      </c>
      <c r="I195" s="22" t="s">
        <v>311</v>
      </c>
      <c r="J195" s="23">
        <v>100.0</v>
      </c>
      <c r="K195" s="21">
        <f t="shared" si="37"/>
        <v>0.0957</v>
      </c>
      <c r="L195" s="24"/>
      <c r="M195" s="14"/>
      <c r="N195" s="14"/>
      <c r="O195" s="14"/>
    </row>
    <row r="196">
      <c r="A196" s="6" t="s">
        <v>312</v>
      </c>
      <c r="B196" s="20">
        <f t="shared" si="35"/>
        <v>0</v>
      </c>
      <c r="C196" s="20">
        <f t="shared" si="36"/>
        <v>0.05883546358</v>
      </c>
      <c r="D196" s="21">
        <v>49.29</v>
      </c>
      <c r="E196" s="21">
        <v>49.29</v>
      </c>
      <c r="F196" s="21">
        <v>49.29</v>
      </c>
      <c r="G196" s="21">
        <v>52.19</v>
      </c>
      <c r="H196" s="6" t="s">
        <v>67</v>
      </c>
      <c r="I196" s="22">
        <v>100.0</v>
      </c>
      <c r="J196" s="23">
        <v>100.0</v>
      </c>
      <c r="K196" s="21">
        <f t="shared" si="37"/>
        <v>0.5219</v>
      </c>
      <c r="L196" s="24"/>
      <c r="M196" s="14"/>
      <c r="N196" s="14"/>
      <c r="O196" s="14"/>
    </row>
    <row r="197">
      <c r="A197" s="6" t="s">
        <v>313</v>
      </c>
      <c r="B197" s="20">
        <f t="shared" si="35"/>
        <v>0.05333333333</v>
      </c>
      <c r="C197" s="20">
        <f t="shared" si="36"/>
        <v>-1</v>
      </c>
      <c r="D197" s="21">
        <v>7.5</v>
      </c>
      <c r="E197" s="21">
        <v>7.9</v>
      </c>
      <c r="F197" s="21">
        <v>7.9</v>
      </c>
      <c r="G197" s="24"/>
      <c r="H197" s="6" t="s">
        <v>67</v>
      </c>
      <c r="I197" s="22" t="s">
        <v>311</v>
      </c>
      <c r="J197" s="23">
        <v>100.0</v>
      </c>
      <c r="K197" s="21">
        <f t="shared" si="37"/>
        <v>0</v>
      </c>
      <c r="L197" s="24"/>
      <c r="M197" s="14"/>
      <c r="N197" s="14"/>
      <c r="O197" s="14"/>
    </row>
    <row r="198">
      <c r="C198" s="20"/>
      <c r="D198" s="24"/>
      <c r="E198" s="24"/>
      <c r="F198" s="24"/>
      <c r="G198" s="24"/>
      <c r="I198" s="18"/>
      <c r="J198" s="19"/>
      <c r="K198" s="21"/>
      <c r="L198" s="24"/>
      <c r="M198" s="14"/>
      <c r="N198" s="14"/>
      <c r="O198" s="14"/>
    </row>
    <row r="199">
      <c r="A199" s="15" t="s">
        <v>314</v>
      </c>
      <c r="B199" s="20">
        <f>((E199-D199)/D199)</f>
        <v>-0.006436750981</v>
      </c>
      <c r="C199" s="20">
        <f>((G199-F199)/F199)</f>
        <v>-1</v>
      </c>
      <c r="D199" s="24">
        <f t="shared" ref="D199:E199" si="38">SUM(D4:D195)</f>
        <v>4033.6033</v>
      </c>
      <c r="E199" s="24">
        <f t="shared" si="38"/>
        <v>4007.64</v>
      </c>
      <c r="F199" s="24">
        <f>SUM(G4:G195)</f>
        <v>3797.02</v>
      </c>
      <c r="G199" s="24"/>
      <c r="I199" s="18"/>
      <c r="J199" s="19"/>
      <c r="K199" s="21"/>
      <c r="L199" s="24"/>
      <c r="M199" s="14"/>
      <c r="N199" s="14"/>
      <c r="O199" s="14"/>
    </row>
    <row r="200">
      <c r="D200" s="24"/>
      <c r="E200" s="24"/>
      <c r="F200" s="24"/>
      <c r="G200" s="24"/>
      <c r="I200" s="18"/>
      <c r="J200" s="19"/>
      <c r="K200" s="21"/>
      <c r="L200" s="24"/>
      <c r="M200" s="14"/>
      <c r="N200" s="14"/>
      <c r="O200" s="14"/>
    </row>
    <row r="201">
      <c r="D201" s="24"/>
      <c r="E201" s="24"/>
      <c r="F201" s="24"/>
      <c r="G201" s="24"/>
      <c r="I201" s="18"/>
      <c r="J201" s="19"/>
      <c r="K201" s="21"/>
      <c r="L201" s="24"/>
      <c r="M201" s="14"/>
      <c r="N201" s="14"/>
      <c r="O201" s="14"/>
    </row>
    <row r="202">
      <c r="D202" s="24"/>
      <c r="E202" s="24"/>
      <c r="F202" s="24"/>
      <c r="G202" s="24"/>
      <c r="I202" s="18"/>
      <c r="J202" s="19"/>
      <c r="K202" s="21"/>
      <c r="L202" s="24"/>
      <c r="M202" s="14"/>
      <c r="N202" s="14"/>
      <c r="O202" s="14"/>
    </row>
    <row r="203">
      <c r="D203" s="24"/>
      <c r="E203" s="24"/>
      <c r="F203" s="24"/>
      <c r="G203" s="24"/>
      <c r="I203" s="18"/>
      <c r="J203" s="19"/>
      <c r="K203" s="21"/>
      <c r="L203" s="24"/>
      <c r="M203" s="14"/>
      <c r="N203" s="14"/>
      <c r="O203" s="14"/>
    </row>
    <row r="204">
      <c r="D204" s="24"/>
      <c r="E204" s="24"/>
      <c r="F204" s="24"/>
      <c r="G204" s="24"/>
      <c r="I204" s="18"/>
      <c r="J204" s="19"/>
      <c r="K204" s="21"/>
      <c r="L204" s="24"/>
      <c r="M204" s="14"/>
      <c r="N204" s="14"/>
      <c r="O204" s="14"/>
    </row>
    <row r="205">
      <c r="D205" s="24"/>
      <c r="E205" s="24"/>
      <c r="F205" s="24"/>
      <c r="G205" s="24"/>
      <c r="I205" s="18"/>
      <c r="J205" s="19"/>
      <c r="K205" s="21"/>
      <c r="L205" s="24"/>
      <c r="M205" s="14"/>
      <c r="N205" s="14"/>
      <c r="O205" s="14"/>
    </row>
    <row r="206">
      <c r="D206" s="24"/>
      <c r="E206" s="24"/>
      <c r="F206" s="24"/>
      <c r="G206" s="24"/>
      <c r="I206" s="18"/>
      <c r="J206" s="19"/>
      <c r="K206" s="21"/>
      <c r="L206" s="24"/>
      <c r="M206" s="14"/>
      <c r="N206" s="14"/>
      <c r="O206" s="14"/>
    </row>
    <row r="207">
      <c r="D207" s="24"/>
      <c r="E207" s="24"/>
      <c r="F207" s="24"/>
      <c r="G207" s="24"/>
      <c r="I207" s="18"/>
      <c r="J207" s="19"/>
      <c r="K207" s="21"/>
      <c r="L207" s="24"/>
      <c r="M207" s="14"/>
      <c r="N207" s="14"/>
      <c r="O207" s="14"/>
    </row>
    <row r="208">
      <c r="D208" s="24"/>
      <c r="E208" s="24"/>
      <c r="F208" s="24"/>
      <c r="G208" s="24"/>
      <c r="I208" s="18"/>
      <c r="J208" s="19"/>
      <c r="K208" s="21"/>
      <c r="L208" s="24"/>
      <c r="M208" s="14"/>
      <c r="N208" s="14"/>
      <c r="O208" s="14"/>
    </row>
    <row r="209">
      <c r="D209" s="24"/>
      <c r="E209" s="24"/>
      <c r="F209" s="24"/>
      <c r="G209" s="24"/>
      <c r="I209" s="18"/>
      <c r="J209" s="19"/>
      <c r="K209" s="21"/>
      <c r="L209" s="24"/>
      <c r="M209" s="14"/>
      <c r="N209" s="14"/>
      <c r="O209" s="14"/>
    </row>
    <row r="210">
      <c r="D210" s="24"/>
      <c r="E210" s="24"/>
      <c r="F210" s="24"/>
      <c r="G210" s="24"/>
      <c r="I210" s="18"/>
      <c r="J210" s="19"/>
      <c r="K210" s="21"/>
      <c r="L210" s="24"/>
      <c r="M210" s="14"/>
      <c r="N210" s="14"/>
      <c r="O210" s="14"/>
    </row>
    <row r="211">
      <c r="D211" s="24"/>
      <c r="E211" s="24"/>
      <c r="F211" s="24"/>
      <c r="G211" s="24"/>
      <c r="I211" s="18"/>
      <c r="J211" s="19"/>
      <c r="K211" s="21"/>
      <c r="L211" s="24"/>
      <c r="M211" s="14"/>
      <c r="N211" s="14"/>
      <c r="O211" s="14"/>
    </row>
    <row r="212">
      <c r="D212" s="24"/>
      <c r="E212" s="24"/>
      <c r="F212" s="24"/>
      <c r="G212" s="24"/>
      <c r="I212" s="18"/>
      <c r="J212" s="19"/>
      <c r="K212" s="21"/>
      <c r="L212" s="24"/>
      <c r="M212" s="14"/>
      <c r="N212" s="14"/>
      <c r="O212" s="14"/>
    </row>
    <row r="213">
      <c r="D213" s="24"/>
      <c r="E213" s="24"/>
      <c r="F213" s="24"/>
      <c r="G213" s="24"/>
      <c r="I213" s="18"/>
      <c r="J213" s="19"/>
      <c r="K213" s="21"/>
      <c r="L213" s="24"/>
      <c r="M213" s="14"/>
      <c r="N213" s="14"/>
      <c r="O213" s="14"/>
    </row>
    <row r="214">
      <c r="D214" s="24"/>
      <c r="E214" s="24"/>
      <c r="F214" s="24"/>
      <c r="G214" s="24"/>
      <c r="I214" s="18"/>
      <c r="J214" s="19"/>
      <c r="K214" s="21"/>
      <c r="L214" s="24"/>
      <c r="M214" s="14"/>
      <c r="N214" s="14"/>
      <c r="O214" s="14"/>
    </row>
    <row r="215">
      <c r="D215" s="24"/>
      <c r="E215" s="24"/>
      <c r="F215" s="24"/>
      <c r="G215" s="24"/>
      <c r="I215" s="18"/>
      <c r="J215" s="19"/>
      <c r="K215" s="21"/>
      <c r="L215" s="24"/>
      <c r="M215" s="14"/>
      <c r="N215" s="14"/>
      <c r="O215" s="14"/>
    </row>
    <row r="216">
      <c r="D216" s="24"/>
      <c r="E216" s="24"/>
      <c r="F216" s="24"/>
      <c r="G216" s="24"/>
      <c r="I216" s="18"/>
      <c r="J216" s="19"/>
      <c r="K216" s="21"/>
      <c r="L216" s="24"/>
      <c r="M216" s="14"/>
      <c r="N216" s="14"/>
      <c r="O216" s="14"/>
    </row>
    <row r="217">
      <c r="D217" s="24"/>
      <c r="E217" s="24"/>
      <c r="F217" s="24"/>
      <c r="G217" s="24"/>
      <c r="I217" s="18"/>
      <c r="J217" s="19"/>
      <c r="K217" s="21"/>
      <c r="L217" s="24"/>
      <c r="M217" s="14"/>
      <c r="N217" s="14"/>
      <c r="O217" s="14"/>
    </row>
    <row r="218">
      <c r="D218" s="24"/>
      <c r="E218" s="24"/>
      <c r="F218" s="24"/>
      <c r="G218" s="24"/>
      <c r="I218" s="18"/>
      <c r="J218" s="19"/>
      <c r="K218" s="21"/>
      <c r="L218" s="24"/>
      <c r="M218" s="14"/>
      <c r="N218" s="14"/>
      <c r="O218" s="14"/>
    </row>
    <row r="219">
      <c r="D219" s="24"/>
      <c r="E219" s="24"/>
      <c r="F219" s="24"/>
      <c r="G219" s="24"/>
      <c r="I219" s="18"/>
      <c r="J219" s="19"/>
      <c r="K219" s="21"/>
      <c r="L219" s="24"/>
      <c r="M219" s="14"/>
      <c r="N219" s="14"/>
      <c r="O219" s="14"/>
    </row>
    <row r="220">
      <c r="D220" s="24"/>
      <c r="E220" s="24"/>
      <c r="F220" s="24"/>
      <c r="G220" s="24"/>
      <c r="I220" s="18"/>
      <c r="J220" s="19"/>
      <c r="K220" s="21"/>
      <c r="L220" s="24"/>
      <c r="M220" s="14"/>
      <c r="N220" s="14"/>
      <c r="O220" s="14"/>
    </row>
    <row r="221">
      <c r="D221" s="24"/>
      <c r="E221" s="24"/>
      <c r="F221" s="24"/>
      <c r="G221" s="24"/>
      <c r="I221" s="18"/>
      <c r="J221" s="19"/>
      <c r="K221" s="21"/>
      <c r="L221" s="24"/>
      <c r="M221" s="14"/>
      <c r="N221" s="14"/>
      <c r="O221" s="14"/>
    </row>
    <row r="222">
      <c r="D222" s="24"/>
      <c r="E222" s="24"/>
      <c r="F222" s="24"/>
      <c r="G222" s="24"/>
      <c r="I222" s="18"/>
      <c r="J222" s="19"/>
      <c r="K222" s="21"/>
      <c r="L222" s="24"/>
      <c r="M222" s="14"/>
      <c r="N222" s="14"/>
      <c r="O222" s="14"/>
    </row>
    <row r="223">
      <c r="D223" s="24"/>
      <c r="E223" s="24"/>
      <c r="F223" s="24"/>
      <c r="G223" s="24"/>
      <c r="I223" s="18"/>
      <c r="J223" s="19"/>
      <c r="K223" s="21"/>
      <c r="L223" s="24"/>
      <c r="M223" s="14"/>
      <c r="N223" s="14"/>
      <c r="O223" s="14"/>
    </row>
    <row r="224">
      <c r="D224" s="24"/>
      <c r="E224" s="24"/>
      <c r="F224" s="24"/>
      <c r="G224" s="24"/>
      <c r="I224" s="18"/>
      <c r="J224" s="19"/>
      <c r="K224" s="21"/>
      <c r="L224" s="24"/>
      <c r="M224" s="14"/>
      <c r="N224" s="14"/>
      <c r="O224" s="14"/>
    </row>
    <row r="225">
      <c r="D225" s="24"/>
      <c r="E225" s="24"/>
      <c r="F225" s="24"/>
      <c r="G225" s="24"/>
      <c r="I225" s="18"/>
      <c r="J225" s="19"/>
      <c r="K225" s="21"/>
      <c r="L225" s="24"/>
      <c r="M225" s="14"/>
      <c r="N225" s="14"/>
      <c r="O225" s="14"/>
    </row>
    <row r="226">
      <c r="D226" s="24"/>
      <c r="E226" s="24"/>
      <c r="F226" s="24"/>
      <c r="G226" s="24"/>
      <c r="I226" s="18"/>
      <c r="J226" s="19"/>
      <c r="K226" s="21"/>
      <c r="L226" s="24"/>
      <c r="M226" s="14"/>
      <c r="N226" s="14"/>
      <c r="O226" s="14"/>
    </row>
    <row r="227">
      <c r="D227" s="24"/>
      <c r="E227" s="24"/>
      <c r="F227" s="24"/>
      <c r="G227" s="24"/>
      <c r="I227" s="18"/>
      <c r="J227" s="19"/>
      <c r="K227" s="21"/>
      <c r="L227" s="24"/>
      <c r="M227" s="14"/>
      <c r="N227" s="14"/>
      <c r="O227" s="14"/>
    </row>
    <row r="228">
      <c r="D228" s="24"/>
      <c r="E228" s="24"/>
      <c r="F228" s="24"/>
      <c r="G228" s="24"/>
      <c r="I228" s="18"/>
      <c r="J228" s="19"/>
      <c r="K228" s="21"/>
      <c r="L228" s="24"/>
      <c r="M228" s="14"/>
      <c r="N228" s="14"/>
      <c r="O228" s="14"/>
    </row>
    <row r="229">
      <c r="D229" s="24"/>
      <c r="E229" s="24"/>
      <c r="F229" s="24"/>
      <c r="G229" s="24"/>
      <c r="I229" s="18"/>
      <c r="J229" s="19"/>
      <c r="K229" s="21"/>
      <c r="L229" s="24"/>
      <c r="M229" s="14"/>
      <c r="N229" s="14"/>
      <c r="O229" s="14"/>
    </row>
    <row r="230">
      <c r="D230" s="24"/>
      <c r="E230" s="24"/>
      <c r="F230" s="24"/>
      <c r="G230" s="24"/>
      <c r="I230" s="18"/>
      <c r="J230" s="19"/>
      <c r="K230" s="21"/>
      <c r="L230" s="24"/>
      <c r="M230" s="14"/>
      <c r="N230" s="14"/>
      <c r="O230" s="14"/>
    </row>
    <row r="231">
      <c r="D231" s="24"/>
      <c r="E231" s="24"/>
      <c r="F231" s="24"/>
      <c r="G231" s="24"/>
      <c r="I231" s="18"/>
      <c r="J231" s="19"/>
      <c r="K231" s="21"/>
      <c r="L231" s="24"/>
      <c r="M231" s="14"/>
      <c r="N231" s="14"/>
      <c r="O231" s="14"/>
    </row>
    <row r="232">
      <c r="D232" s="24"/>
      <c r="E232" s="24"/>
      <c r="F232" s="24"/>
      <c r="G232" s="24"/>
      <c r="I232" s="18"/>
      <c r="J232" s="19"/>
      <c r="K232" s="21"/>
      <c r="L232" s="24"/>
      <c r="M232" s="14"/>
      <c r="N232" s="14"/>
      <c r="O232" s="14"/>
    </row>
    <row r="233">
      <c r="D233" s="24"/>
      <c r="E233" s="24"/>
      <c r="F233" s="24"/>
      <c r="G233" s="24"/>
      <c r="I233" s="18"/>
      <c r="J233" s="19"/>
      <c r="K233" s="21"/>
      <c r="L233" s="24"/>
      <c r="M233" s="14"/>
      <c r="N233" s="14"/>
      <c r="O233" s="14"/>
    </row>
    <row r="234">
      <c r="D234" s="24"/>
      <c r="E234" s="24"/>
      <c r="F234" s="24"/>
      <c r="G234" s="24"/>
      <c r="I234" s="18"/>
      <c r="J234" s="19"/>
      <c r="K234" s="21"/>
      <c r="L234" s="24"/>
      <c r="M234" s="14"/>
      <c r="N234" s="14"/>
      <c r="O234" s="14"/>
    </row>
    <row r="235">
      <c r="D235" s="24"/>
      <c r="E235" s="24"/>
      <c r="F235" s="24"/>
      <c r="G235" s="24"/>
      <c r="I235" s="18"/>
      <c r="J235" s="19"/>
      <c r="K235" s="21"/>
      <c r="L235" s="24"/>
      <c r="M235" s="14"/>
      <c r="N235" s="14"/>
      <c r="O235" s="14"/>
    </row>
    <row r="236">
      <c r="D236" s="24"/>
      <c r="E236" s="24"/>
      <c r="F236" s="24"/>
      <c r="G236" s="24"/>
      <c r="I236" s="18"/>
      <c r="J236" s="19"/>
      <c r="K236" s="21"/>
      <c r="L236" s="24"/>
      <c r="M236" s="14"/>
      <c r="N236" s="14"/>
      <c r="O236" s="14"/>
    </row>
    <row r="237">
      <c r="D237" s="24"/>
      <c r="E237" s="24"/>
      <c r="F237" s="24"/>
      <c r="G237" s="24"/>
      <c r="I237" s="18"/>
      <c r="J237" s="19"/>
      <c r="K237" s="21"/>
      <c r="L237" s="24"/>
      <c r="M237" s="14"/>
      <c r="N237" s="14"/>
      <c r="O237" s="14"/>
    </row>
    <row r="238">
      <c r="D238" s="24"/>
      <c r="E238" s="24"/>
      <c r="F238" s="24"/>
      <c r="G238" s="24"/>
      <c r="I238" s="18"/>
      <c r="J238" s="19"/>
      <c r="K238" s="21"/>
      <c r="L238" s="24"/>
      <c r="M238" s="14"/>
      <c r="N238" s="14"/>
      <c r="O238" s="14"/>
    </row>
    <row r="239">
      <c r="D239" s="24"/>
      <c r="E239" s="24"/>
      <c r="F239" s="24"/>
      <c r="G239" s="24"/>
      <c r="I239" s="18"/>
      <c r="J239" s="19"/>
      <c r="M239" s="14"/>
      <c r="N239" s="14"/>
      <c r="O239" s="14"/>
    </row>
    <row r="240">
      <c r="D240" s="24"/>
      <c r="E240" s="24"/>
      <c r="F240" s="24"/>
      <c r="G240" s="24"/>
      <c r="I240" s="18"/>
      <c r="J240" s="19"/>
      <c r="M240" s="14"/>
      <c r="N240" s="14"/>
      <c r="O240" s="14"/>
    </row>
    <row r="241">
      <c r="D241" s="24"/>
      <c r="E241" s="24"/>
      <c r="F241" s="24"/>
      <c r="G241" s="24"/>
      <c r="I241" s="18"/>
      <c r="J241" s="19"/>
      <c r="M241" s="14"/>
      <c r="N241" s="14"/>
      <c r="O241" s="14"/>
    </row>
    <row r="242">
      <c r="D242" s="24"/>
      <c r="E242" s="24"/>
      <c r="F242" s="24"/>
      <c r="G242" s="24"/>
      <c r="I242" s="18"/>
      <c r="J242" s="19"/>
      <c r="M242" s="14"/>
      <c r="N242" s="14"/>
      <c r="O242" s="14"/>
    </row>
    <row r="243">
      <c r="D243" s="24"/>
      <c r="E243" s="24"/>
      <c r="F243" s="24"/>
      <c r="G243" s="24"/>
      <c r="I243" s="18"/>
      <c r="J243" s="19"/>
      <c r="M243" s="14"/>
      <c r="N243" s="14"/>
      <c r="O243" s="14"/>
    </row>
    <row r="244">
      <c r="D244" s="24"/>
      <c r="E244" s="24"/>
      <c r="F244" s="24"/>
      <c r="G244" s="24"/>
      <c r="I244" s="18"/>
      <c r="J244" s="19"/>
      <c r="M244" s="14"/>
      <c r="N244" s="14"/>
      <c r="O244" s="14"/>
    </row>
    <row r="245">
      <c r="D245" s="24"/>
      <c r="E245" s="24"/>
      <c r="F245" s="24"/>
      <c r="G245" s="24"/>
      <c r="I245" s="18"/>
      <c r="J245" s="19"/>
      <c r="M245" s="14"/>
      <c r="N245" s="14"/>
      <c r="O245" s="14"/>
    </row>
    <row r="246">
      <c r="D246" s="24"/>
      <c r="E246" s="24"/>
      <c r="F246" s="24"/>
      <c r="G246" s="24"/>
      <c r="I246" s="18"/>
      <c r="J246" s="19"/>
      <c r="M246" s="14"/>
      <c r="N246" s="14"/>
      <c r="O246" s="14"/>
    </row>
    <row r="247">
      <c r="D247" s="24"/>
      <c r="E247" s="24"/>
      <c r="F247" s="24"/>
      <c r="G247" s="24"/>
      <c r="I247" s="18"/>
      <c r="J247" s="19"/>
      <c r="M247" s="14"/>
      <c r="N247" s="14"/>
      <c r="O247" s="14"/>
    </row>
    <row r="248">
      <c r="D248" s="24"/>
      <c r="E248" s="24"/>
      <c r="F248" s="24"/>
      <c r="G248" s="24"/>
      <c r="I248" s="18"/>
      <c r="J248" s="19"/>
      <c r="M248" s="14"/>
      <c r="N248" s="14"/>
      <c r="O248" s="14"/>
    </row>
    <row r="249">
      <c r="D249" s="24"/>
      <c r="E249" s="24"/>
      <c r="F249" s="24"/>
      <c r="G249" s="24"/>
      <c r="I249" s="18"/>
      <c r="J249" s="19"/>
      <c r="M249" s="14"/>
      <c r="N249" s="14"/>
      <c r="O249" s="14"/>
    </row>
    <row r="250">
      <c r="D250" s="24"/>
      <c r="E250" s="24"/>
      <c r="F250" s="24"/>
      <c r="G250" s="24"/>
      <c r="I250" s="18"/>
      <c r="J250" s="19"/>
      <c r="M250" s="14"/>
      <c r="N250" s="14"/>
      <c r="O250" s="14"/>
    </row>
    <row r="251">
      <c r="D251" s="24"/>
      <c r="E251" s="24"/>
      <c r="F251" s="24"/>
      <c r="G251" s="24"/>
      <c r="I251" s="18"/>
      <c r="J251" s="19"/>
      <c r="M251" s="14"/>
      <c r="N251" s="14"/>
      <c r="O251" s="14"/>
    </row>
    <row r="252">
      <c r="D252" s="24"/>
      <c r="E252" s="24"/>
      <c r="F252" s="24"/>
      <c r="G252" s="24"/>
      <c r="I252" s="18"/>
      <c r="J252" s="19"/>
      <c r="M252" s="14"/>
      <c r="N252" s="14"/>
      <c r="O252" s="14"/>
    </row>
    <row r="253">
      <c r="D253" s="24"/>
      <c r="E253" s="24"/>
      <c r="F253" s="24"/>
      <c r="G253" s="24"/>
      <c r="I253" s="18"/>
      <c r="J253" s="19"/>
      <c r="M253" s="14"/>
      <c r="N253" s="14"/>
      <c r="O253" s="14"/>
    </row>
    <row r="254">
      <c r="D254" s="24"/>
      <c r="E254" s="24"/>
      <c r="F254" s="24"/>
      <c r="G254" s="24"/>
      <c r="I254" s="18"/>
      <c r="J254" s="19"/>
      <c r="M254" s="14"/>
      <c r="N254" s="14"/>
      <c r="O254" s="14"/>
    </row>
    <row r="255">
      <c r="D255" s="24"/>
      <c r="E255" s="24"/>
      <c r="F255" s="24"/>
      <c r="G255" s="24"/>
      <c r="I255" s="18"/>
      <c r="J255" s="19"/>
      <c r="M255" s="14"/>
      <c r="N255" s="14"/>
      <c r="O255" s="14"/>
    </row>
    <row r="256">
      <c r="D256" s="24"/>
      <c r="E256" s="24"/>
      <c r="F256" s="24"/>
      <c r="G256" s="24"/>
      <c r="I256" s="18"/>
      <c r="J256" s="19"/>
      <c r="M256" s="14"/>
      <c r="N256" s="14"/>
      <c r="O256" s="14"/>
    </row>
    <row r="257">
      <c r="D257" s="24"/>
      <c r="E257" s="24"/>
      <c r="F257" s="24"/>
      <c r="G257" s="24"/>
      <c r="I257" s="18"/>
      <c r="J257" s="19"/>
      <c r="M257" s="14"/>
      <c r="N257" s="14"/>
      <c r="O257" s="14"/>
    </row>
    <row r="258">
      <c r="D258" s="24"/>
      <c r="E258" s="24"/>
      <c r="F258" s="24"/>
      <c r="G258" s="24"/>
      <c r="I258" s="18"/>
      <c r="J258" s="19"/>
      <c r="M258" s="14"/>
      <c r="N258" s="14"/>
      <c r="O258" s="14"/>
    </row>
    <row r="259">
      <c r="D259" s="24"/>
      <c r="E259" s="24"/>
      <c r="F259" s="24"/>
      <c r="G259" s="24"/>
      <c r="I259" s="18"/>
      <c r="J259" s="19"/>
      <c r="M259" s="14"/>
      <c r="N259" s="14"/>
      <c r="O259" s="14"/>
    </row>
    <row r="260">
      <c r="D260" s="24"/>
      <c r="E260" s="24"/>
      <c r="F260" s="24"/>
      <c r="G260" s="24"/>
      <c r="I260" s="18"/>
      <c r="J260" s="19"/>
      <c r="M260" s="14"/>
      <c r="N260" s="14"/>
      <c r="O260" s="14"/>
    </row>
    <row r="261">
      <c r="D261" s="24"/>
      <c r="E261" s="24"/>
      <c r="F261" s="24"/>
      <c r="G261" s="24"/>
      <c r="I261" s="18"/>
      <c r="J261" s="19"/>
      <c r="M261" s="14"/>
      <c r="N261" s="14"/>
      <c r="O261" s="14"/>
    </row>
    <row r="262">
      <c r="D262" s="24"/>
      <c r="E262" s="24"/>
      <c r="F262" s="24"/>
      <c r="G262" s="24"/>
      <c r="I262" s="18"/>
      <c r="J262" s="19"/>
      <c r="M262" s="14"/>
      <c r="N262" s="14"/>
      <c r="O262" s="14"/>
    </row>
    <row r="263">
      <c r="D263" s="24"/>
      <c r="E263" s="24"/>
      <c r="F263" s="24"/>
      <c r="G263" s="24"/>
      <c r="I263" s="18"/>
      <c r="J263" s="19"/>
      <c r="M263" s="14"/>
      <c r="N263" s="14"/>
      <c r="O263" s="14"/>
    </row>
    <row r="264">
      <c r="D264" s="24"/>
      <c r="E264" s="24"/>
      <c r="F264" s="24"/>
      <c r="G264" s="24"/>
      <c r="I264" s="18"/>
      <c r="J264" s="19"/>
      <c r="M264" s="14"/>
      <c r="N264" s="14"/>
      <c r="O264" s="14"/>
    </row>
    <row r="265">
      <c r="D265" s="24"/>
      <c r="E265" s="24"/>
      <c r="F265" s="24"/>
      <c r="G265" s="24"/>
      <c r="I265" s="18"/>
      <c r="J265" s="19"/>
      <c r="M265" s="14"/>
      <c r="N265" s="14"/>
      <c r="O265" s="14"/>
    </row>
    <row r="266">
      <c r="D266" s="24"/>
      <c r="E266" s="24"/>
      <c r="F266" s="24"/>
      <c r="G266" s="24"/>
      <c r="I266" s="18"/>
      <c r="J266" s="19"/>
      <c r="M266" s="14"/>
      <c r="N266" s="14"/>
      <c r="O266" s="14"/>
    </row>
    <row r="267">
      <c r="D267" s="24"/>
      <c r="E267" s="24"/>
      <c r="F267" s="24"/>
      <c r="G267" s="24"/>
      <c r="I267" s="18"/>
      <c r="J267" s="19"/>
      <c r="M267" s="14"/>
      <c r="N267" s="14"/>
      <c r="O267" s="14"/>
    </row>
    <row r="268">
      <c r="D268" s="24"/>
      <c r="E268" s="24"/>
      <c r="F268" s="24"/>
      <c r="G268" s="24"/>
      <c r="I268" s="18"/>
      <c r="J268" s="19"/>
      <c r="M268" s="14"/>
      <c r="N268" s="14"/>
      <c r="O268" s="14"/>
    </row>
    <row r="269">
      <c r="D269" s="24"/>
      <c r="E269" s="24"/>
      <c r="F269" s="24"/>
      <c r="G269" s="24"/>
      <c r="I269" s="18"/>
      <c r="J269" s="19"/>
      <c r="M269" s="14"/>
      <c r="N269" s="14"/>
      <c r="O269" s="14"/>
    </row>
    <row r="270">
      <c r="D270" s="24"/>
      <c r="E270" s="24"/>
      <c r="F270" s="24"/>
      <c r="G270" s="24"/>
      <c r="I270" s="18"/>
      <c r="J270" s="19"/>
      <c r="M270" s="14"/>
      <c r="N270" s="14"/>
      <c r="O270" s="14"/>
    </row>
    <row r="271">
      <c r="D271" s="24"/>
      <c r="E271" s="24"/>
      <c r="F271" s="24"/>
      <c r="G271" s="24"/>
      <c r="I271" s="18"/>
      <c r="J271" s="19"/>
      <c r="M271" s="14"/>
      <c r="N271" s="14"/>
      <c r="O271" s="14"/>
    </row>
    <row r="272">
      <c r="D272" s="24"/>
      <c r="E272" s="24"/>
      <c r="F272" s="24"/>
      <c r="G272" s="24"/>
      <c r="I272" s="18"/>
      <c r="J272" s="19"/>
      <c r="M272" s="14"/>
      <c r="N272" s="14"/>
      <c r="O272" s="14"/>
    </row>
    <row r="273">
      <c r="D273" s="24"/>
      <c r="E273" s="24"/>
      <c r="F273" s="24"/>
      <c r="G273" s="24"/>
      <c r="I273" s="18"/>
      <c r="J273" s="19"/>
      <c r="M273" s="14"/>
      <c r="N273" s="14"/>
      <c r="O273" s="14"/>
    </row>
    <row r="274">
      <c r="D274" s="24"/>
      <c r="E274" s="24"/>
      <c r="F274" s="24"/>
      <c r="G274" s="24"/>
      <c r="I274" s="18"/>
      <c r="J274" s="19"/>
      <c r="M274" s="14"/>
      <c r="N274" s="14"/>
      <c r="O274" s="14"/>
    </row>
    <row r="275">
      <c r="D275" s="24"/>
      <c r="E275" s="24"/>
      <c r="F275" s="24"/>
      <c r="G275" s="24"/>
      <c r="I275" s="18"/>
      <c r="J275" s="19"/>
      <c r="M275" s="14"/>
      <c r="N275" s="14"/>
      <c r="O275" s="14"/>
    </row>
    <row r="276">
      <c r="D276" s="24"/>
      <c r="E276" s="24"/>
      <c r="F276" s="24"/>
      <c r="G276" s="24"/>
      <c r="I276" s="18"/>
      <c r="J276" s="19"/>
      <c r="M276" s="14"/>
      <c r="N276" s="14"/>
      <c r="O276" s="14"/>
    </row>
    <row r="277">
      <c r="D277" s="24"/>
      <c r="E277" s="24"/>
      <c r="F277" s="24"/>
      <c r="G277" s="24"/>
      <c r="I277" s="18"/>
      <c r="J277" s="19"/>
      <c r="M277" s="14"/>
      <c r="N277" s="14"/>
      <c r="O277" s="14"/>
    </row>
    <row r="278">
      <c r="D278" s="24"/>
      <c r="E278" s="24"/>
      <c r="F278" s="24"/>
      <c r="G278" s="24"/>
      <c r="I278" s="18"/>
      <c r="J278" s="19"/>
      <c r="M278" s="14"/>
      <c r="N278" s="14"/>
      <c r="O278" s="14"/>
    </row>
    <row r="279">
      <c r="D279" s="24"/>
      <c r="E279" s="24"/>
      <c r="F279" s="24"/>
      <c r="G279" s="24"/>
      <c r="I279" s="18"/>
      <c r="J279" s="19"/>
      <c r="M279" s="14"/>
      <c r="N279" s="14"/>
      <c r="O279" s="14"/>
    </row>
    <row r="280">
      <c r="D280" s="24"/>
      <c r="E280" s="24"/>
      <c r="F280" s="24"/>
      <c r="G280" s="24"/>
      <c r="I280" s="18"/>
      <c r="J280" s="19"/>
      <c r="M280" s="14"/>
      <c r="N280" s="14"/>
      <c r="O280" s="14"/>
    </row>
    <row r="281">
      <c r="D281" s="24"/>
      <c r="E281" s="24"/>
      <c r="F281" s="24"/>
      <c r="G281" s="24"/>
      <c r="I281" s="18"/>
      <c r="J281" s="19"/>
      <c r="M281" s="14"/>
      <c r="N281" s="14"/>
      <c r="O281" s="14"/>
    </row>
    <row r="282">
      <c r="D282" s="24"/>
      <c r="E282" s="24"/>
      <c r="F282" s="24"/>
      <c r="G282" s="24"/>
      <c r="I282" s="18"/>
      <c r="J282" s="19"/>
      <c r="M282" s="14"/>
      <c r="N282" s="14"/>
      <c r="O282" s="14"/>
    </row>
    <row r="283">
      <c r="D283" s="24"/>
      <c r="E283" s="24"/>
      <c r="F283" s="24"/>
      <c r="G283" s="24"/>
      <c r="I283" s="18"/>
      <c r="J283" s="19"/>
      <c r="M283" s="14"/>
      <c r="N283" s="14"/>
      <c r="O283" s="14"/>
    </row>
    <row r="284">
      <c r="D284" s="24"/>
      <c r="E284" s="24"/>
      <c r="F284" s="24"/>
      <c r="G284" s="24"/>
      <c r="I284" s="18"/>
      <c r="J284" s="19"/>
      <c r="M284" s="14"/>
      <c r="N284" s="14"/>
      <c r="O284" s="14"/>
    </row>
    <row r="285">
      <c r="D285" s="24"/>
      <c r="E285" s="24"/>
      <c r="F285" s="24"/>
      <c r="G285" s="24"/>
      <c r="I285" s="18"/>
      <c r="J285" s="19"/>
      <c r="M285" s="14"/>
      <c r="N285" s="14"/>
      <c r="O285" s="14"/>
    </row>
    <row r="286">
      <c r="D286" s="24"/>
      <c r="E286" s="24"/>
      <c r="F286" s="24"/>
      <c r="G286" s="24"/>
      <c r="I286" s="18"/>
      <c r="J286" s="19"/>
      <c r="M286" s="14"/>
      <c r="N286" s="14"/>
      <c r="O286" s="14"/>
    </row>
    <row r="287">
      <c r="D287" s="24"/>
      <c r="E287" s="24"/>
      <c r="F287" s="24"/>
      <c r="G287" s="24"/>
      <c r="I287" s="18"/>
      <c r="J287" s="19"/>
      <c r="M287" s="14"/>
      <c r="N287" s="14"/>
      <c r="O287" s="14"/>
    </row>
    <row r="288">
      <c r="D288" s="24"/>
      <c r="E288" s="24"/>
      <c r="F288" s="24"/>
      <c r="G288" s="24"/>
      <c r="I288" s="18"/>
      <c r="J288" s="19"/>
      <c r="M288" s="14"/>
      <c r="N288" s="14"/>
      <c r="O288" s="14"/>
    </row>
    <row r="289">
      <c r="D289" s="24"/>
      <c r="E289" s="24"/>
      <c r="F289" s="24"/>
      <c r="G289" s="24"/>
      <c r="I289" s="18"/>
      <c r="J289" s="19"/>
      <c r="M289" s="14"/>
      <c r="N289" s="14"/>
      <c r="O289" s="14"/>
    </row>
    <row r="290">
      <c r="D290" s="24"/>
      <c r="E290" s="24"/>
      <c r="F290" s="24"/>
      <c r="G290" s="24"/>
      <c r="I290" s="18"/>
      <c r="J290" s="19"/>
      <c r="M290" s="14"/>
      <c r="N290" s="14"/>
      <c r="O290" s="14"/>
    </row>
    <row r="291">
      <c r="D291" s="24"/>
      <c r="E291" s="24"/>
      <c r="F291" s="24"/>
      <c r="G291" s="24"/>
      <c r="I291" s="18"/>
      <c r="J291" s="19"/>
      <c r="M291" s="14"/>
      <c r="N291" s="14"/>
      <c r="O291" s="14"/>
    </row>
    <row r="292">
      <c r="D292" s="24"/>
      <c r="E292" s="24"/>
      <c r="F292" s="24"/>
      <c r="G292" s="24"/>
      <c r="I292" s="18"/>
      <c r="J292" s="19"/>
      <c r="M292" s="14"/>
      <c r="N292" s="14"/>
      <c r="O292" s="14"/>
    </row>
    <row r="293">
      <c r="D293" s="24"/>
      <c r="E293" s="24"/>
      <c r="F293" s="24"/>
      <c r="G293" s="24"/>
      <c r="I293" s="18"/>
      <c r="J293" s="19"/>
      <c r="M293" s="14"/>
      <c r="N293" s="14"/>
      <c r="O293" s="14"/>
    </row>
    <row r="294">
      <c r="D294" s="24"/>
      <c r="E294" s="24"/>
      <c r="F294" s="24"/>
      <c r="G294" s="24"/>
      <c r="I294" s="18"/>
      <c r="J294" s="19"/>
      <c r="M294" s="14"/>
      <c r="N294" s="14"/>
      <c r="O294" s="14"/>
    </row>
    <row r="295">
      <c r="D295" s="24"/>
      <c r="E295" s="24"/>
      <c r="F295" s="24"/>
      <c r="G295" s="24"/>
      <c r="I295" s="18"/>
      <c r="J295" s="19"/>
      <c r="M295" s="14"/>
      <c r="N295" s="14"/>
      <c r="O295" s="14"/>
    </row>
    <row r="296">
      <c r="D296" s="24"/>
      <c r="E296" s="24"/>
      <c r="F296" s="24"/>
      <c r="G296" s="24"/>
      <c r="I296" s="18"/>
      <c r="J296" s="19"/>
      <c r="M296" s="14"/>
      <c r="N296" s="14"/>
      <c r="O296" s="14"/>
    </row>
    <row r="297">
      <c r="D297" s="24"/>
      <c r="E297" s="24"/>
      <c r="F297" s="24"/>
      <c r="G297" s="24"/>
      <c r="I297" s="18"/>
      <c r="J297" s="19"/>
      <c r="M297" s="14"/>
      <c r="N297" s="14"/>
      <c r="O297" s="14"/>
    </row>
    <row r="298">
      <c r="D298" s="24"/>
      <c r="E298" s="24"/>
      <c r="F298" s="24"/>
      <c r="G298" s="24"/>
      <c r="I298" s="18"/>
      <c r="J298" s="19"/>
      <c r="M298" s="14"/>
      <c r="N298" s="14"/>
      <c r="O298" s="14"/>
    </row>
    <row r="299">
      <c r="D299" s="24"/>
      <c r="E299" s="24"/>
      <c r="F299" s="24"/>
      <c r="G299" s="24"/>
      <c r="I299" s="18"/>
      <c r="J299" s="19"/>
      <c r="M299" s="14"/>
      <c r="N299" s="14"/>
      <c r="O299" s="14"/>
    </row>
    <row r="300">
      <c r="D300" s="24"/>
      <c r="E300" s="24"/>
      <c r="F300" s="24"/>
      <c r="G300" s="24"/>
      <c r="I300" s="18"/>
      <c r="J300" s="19"/>
      <c r="M300" s="14"/>
      <c r="N300" s="14"/>
      <c r="O300" s="14"/>
    </row>
    <row r="301">
      <c r="D301" s="24"/>
      <c r="E301" s="24"/>
      <c r="F301" s="24"/>
      <c r="G301" s="24"/>
      <c r="I301" s="18"/>
      <c r="J301" s="19"/>
      <c r="M301" s="14"/>
      <c r="N301" s="14"/>
      <c r="O301" s="14"/>
    </row>
    <row r="302">
      <c r="D302" s="24"/>
      <c r="E302" s="24"/>
      <c r="F302" s="24"/>
      <c r="G302" s="24"/>
      <c r="I302" s="18"/>
      <c r="J302" s="19"/>
      <c r="M302" s="14"/>
      <c r="N302" s="14"/>
      <c r="O302" s="14"/>
    </row>
    <row r="303">
      <c r="D303" s="24"/>
      <c r="E303" s="24"/>
      <c r="F303" s="24"/>
      <c r="G303" s="24"/>
      <c r="I303" s="18"/>
      <c r="J303" s="19"/>
      <c r="M303" s="14"/>
      <c r="N303" s="14"/>
      <c r="O303" s="14"/>
    </row>
    <row r="304">
      <c r="D304" s="24"/>
      <c r="E304" s="24"/>
      <c r="F304" s="24"/>
      <c r="G304" s="24"/>
      <c r="I304" s="18"/>
      <c r="J304" s="19"/>
      <c r="M304" s="14"/>
      <c r="N304" s="14"/>
      <c r="O304" s="14"/>
    </row>
    <row r="305">
      <c r="D305" s="24"/>
      <c r="E305" s="24"/>
      <c r="F305" s="24"/>
      <c r="G305" s="24"/>
      <c r="I305" s="18"/>
      <c r="J305" s="19"/>
      <c r="M305" s="14"/>
      <c r="N305" s="14"/>
      <c r="O305" s="14"/>
    </row>
    <row r="306">
      <c r="D306" s="24"/>
      <c r="E306" s="24"/>
      <c r="F306" s="24"/>
      <c r="G306" s="24"/>
      <c r="I306" s="18"/>
      <c r="J306" s="19"/>
      <c r="M306" s="14"/>
      <c r="N306" s="14"/>
      <c r="O306" s="14"/>
    </row>
    <row r="307">
      <c r="D307" s="24"/>
      <c r="E307" s="24"/>
      <c r="F307" s="24"/>
      <c r="G307" s="24"/>
      <c r="I307" s="18"/>
      <c r="J307" s="19"/>
      <c r="M307" s="14"/>
      <c r="N307" s="14"/>
      <c r="O307" s="14"/>
    </row>
    <row r="308">
      <c r="D308" s="24"/>
      <c r="E308" s="24"/>
      <c r="F308" s="24"/>
      <c r="G308" s="24"/>
      <c r="I308" s="18"/>
      <c r="J308" s="19"/>
      <c r="M308" s="14"/>
      <c r="N308" s="14"/>
      <c r="O308" s="14"/>
    </row>
    <row r="309">
      <c r="D309" s="24"/>
      <c r="E309" s="24"/>
      <c r="F309" s="24"/>
      <c r="G309" s="24"/>
      <c r="I309" s="18"/>
      <c r="J309" s="19"/>
      <c r="M309" s="14"/>
      <c r="N309" s="14"/>
      <c r="O309" s="14"/>
    </row>
    <row r="310">
      <c r="D310" s="24"/>
      <c r="E310" s="24"/>
      <c r="F310" s="24"/>
      <c r="G310" s="24"/>
      <c r="I310" s="18"/>
      <c r="J310" s="19"/>
      <c r="M310" s="14"/>
      <c r="N310" s="14"/>
      <c r="O310" s="14"/>
    </row>
    <row r="311">
      <c r="D311" s="24"/>
      <c r="E311" s="24"/>
      <c r="F311" s="24"/>
      <c r="G311" s="24"/>
      <c r="I311" s="18"/>
      <c r="J311" s="19"/>
      <c r="M311" s="14"/>
      <c r="N311" s="14"/>
      <c r="O311" s="14"/>
    </row>
    <row r="312">
      <c r="D312" s="24"/>
      <c r="E312" s="24"/>
      <c r="F312" s="24"/>
      <c r="G312" s="24"/>
      <c r="I312" s="18"/>
      <c r="J312" s="19"/>
      <c r="M312" s="14"/>
      <c r="N312" s="14"/>
      <c r="O312" s="14"/>
    </row>
    <row r="313">
      <c r="D313" s="24"/>
      <c r="E313" s="24"/>
      <c r="F313" s="24"/>
      <c r="G313" s="24"/>
      <c r="I313" s="18"/>
      <c r="J313" s="19"/>
      <c r="M313" s="14"/>
      <c r="N313" s="14"/>
      <c r="O313" s="14"/>
    </row>
    <row r="314">
      <c r="D314" s="24"/>
      <c r="E314" s="24"/>
      <c r="F314" s="24"/>
      <c r="G314" s="24"/>
      <c r="I314" s="18"/>
      <c r="J314" s="19"/>
      <c r="M314" s="14"/>
      <c r="N314" s="14"/>
      <c r="O314" s="14"/>
    </row>
    <row r="315">
      <c r="D315" s="24"/>
      <c r="E315" s="24"/>
      <c r="F315" s="24"/>
      <c r="G315" s="24"/>
      <c r="I315" s="18"/>
      <c r="J315" s="19"/>
      <c r="M315" s="14"/>
      <c r="N315" s="14"/>
      <c r="O315" s="14"/>
    </row>
    <row r="316">
      <c r="D316" s="24"/>
      <c r="E316" s="24"/>
      <c r="F316" s="24"/>
      <c r="G316" s="24"/>
      <c r="I316" s="18"/>
      <c r="J316" s="19"/>
      <c r="M316" s="14"/>
      <c r="N316" s="14"/>
      <c r="O316" s="14"/>
    </row>
    <row r="317">
      <c r="D317" s="24"/>
      <c r="E317" s="24"/>
      <c r="F317" s="24"/>
      <c r="G317" s="24"/>
      <c r="I317" s="18"/>
      <c r="J317" s="19"/>
      <c r="M317" s="14"/>
      <c r="N317" s="14"/>
      <c r="O317" s="14"/>
    </row>
    <row r="318">
      <c r="D318" s="24"/>
      <c r="E318" s="24"/>
      <c r="F318" s="24"/>
      <c r="G318" s="24"/>
      <c r="I318" s="18"/>
      <c r="J318" s="19"/>
      <c r="M318" s="14"/>
      <c r="N318" s="14"/>
      <c r="O318" s="14"/>
    </row>
    <row r="319">
      <c r="D319" s="24"/>
      <c r="E319" s="24"/>
      <c r="F319" s="24"/>
      <c r="G319" s="24"/>
      <c r="I319" s="18"/>
      <c r="J319" s="19"/>
      <c r="M319" s="14"/>
      <c r="N319" s="14"/>
      <c r="O319" s="14"/>
    </row>
    <row r="320">
      <c r="D320" s="24"/>
      <c r="E320" s="24"/>
      <c r="F320" s="24"/>
      <c r="G320" s="24"/>
      <c r="I320" s="18"/>
      <c r="J320" s="19"/>
      <c r="M320" s="14"/>
      <c r="N320" s="14"/>
      <c r="O320" s="14"/>
    </row>
    <row r="321">
      <c r="D321" s="24"/>
      <c r="E321" s="24"/>
      <c r="F321" s="24"/>
      <c r="G321" s="24"/>
      <c r="I321" s="18"/>
      <c r="J321" s="19"/>
      <c r="M321" s="14"/>
      <c r="N321" s="14"/>
      <c r="O321" s="14"/>
    </row>
    <row r="322">
      <c r="D322" s="24"/>
      <c r="E322" s="24"/>
      <c r="F322" s="24"/>
      <c r="G322" s="24"/>
      <c r="I322" s="18"/>
      <c r="J322" s="19"/>
      <c r="M322" s="14"/>
      <c r="N322" s="14"/>
      <c r="O322" s="14"/>
    </row>
    <row r="323">
      <c r="D323" s="24"/>
      <c r="E323" s="24"/>
      <c r="F323" s="24"/>
      <c r="G323" s="24"/>
      <c r="I323" s="18"/>
      <c r="J323" s="19"/>
      <c r="M323" s="14"/>
      <c r="N323" s="14"/>
      <c r="O323" s="14"/>
    </row>
    <row r="324">
      <c r="D324" s="24"/>
      <c r="E324" s="24"/>
      <c r="F324" s="24"/>
      <c r="G324" s="24"/>
      <c r="I324" s="18"/>
      <c r="J324" s="19"/>
      <c r="M324" s="14"/>
      <c r="N324" s="14"/>
      <c r="O324" s="14"/>
    </row>
    <row r="325">
      <c r="D325" s="24"/>
      <c r="E325" s="24"/>
      <c r="F325" s="24"/>
      <c r="G325" s="24"/>
      <c r="I325" s="18"/>
      <c r="J325" s="19"/>
      <c r="M325" s="14"/>
      <c r="N325" s="14"/>
      <c r="O325" s="14"/>
    </row>
    <row r="326">
      <c r="D326" s="24"/>
      <c r="E326" s="24"/>
      <c r="F326" s="24"/>
      <c r="G326" s="24"/>
      <c r="I326" s="18"/>
      <c r="J326" s="19"/>
      <c r="M326" s="14"/>
      <c r="N326" s="14"/>
      <c r="O326" s="14"/>
    </row>
    <row r="327">
      <c r="D327" s="24"/>
      <c r="E327" s="24"/>
      <c r="F327" s="24"/>
      <c r="G327" s="24"/>
      <c r="I327" s="18"/>
      <c r="J327" s="19"/>
      <c r="M327" s="14"/>
      <c r="N327" s="14"/>
      <c r="O327" s="14"/>
    </row>
    <row r="328">
      <c r="D328" s="24"/>
      <c r="E328" s="24"/>
      <c r="F328" s="24"/>
      <c r="G328" s="24"/>
      <c r="I328" s="18"/>
      <c r="J328" s="19"/>
      <c r="M328" s="14"/>
      <c r="N328" s="14"/>
      <c r="O328" s="14"/>
    </row>
    <row r="329">
      <c r="D329" s="24"/>
      <c r="E329" s="24"/>
      <c r="F329" s="24"/>
      <c r="G329" s="24"/>
      <c r="I329" s="18"/>
      <c r="J329" s="19"/>
      <c r="M329" s="14"/>
      <c r="N329" s="14"/>
      <c r="O329" s="14"/>
    </row>
    <row r="330">
      <c r="D330" s="24"/>
      <c r="E330" s="24"/>
      <c r="F330" s="24"/>
      <c r="G330" s="24"/>
      <c r="I330" s="18"/>
      <c r="J330" s="19"/>
      <c r="M330" s="14"/>
      <c r="N330" s="14"/>
      <c r="O330" s="14"/>
    </row>
    <row r="331">
      <c r="D331" s="24"/>
      <c r="E331" s="24"/>
      <c r="F331" s="24"/>
      <c r="G331" s="24"/>
      <c r="I331" s="18"/>
      <c r="J331" s="19"/>
      <c r="M331" s="14"/>
      <c r="N331" s="14"/>
      <c r="O331" s="14"/>
    </row>
    <row r="332">
      <c r="D332" s="24"/>
      <c r="E332" s="24"/>
      <c r="F332" s="24"/>
      <c r="G332" s="24"/>
      <c r="I332" s="18"/>
      <c r="J332" s="19"/>
      <c r="M332" s="14"/>
      <c r="N332" s="14"/>
      <c r="O332" s="14"/>
    </row>
    <row r="333">
      <c r="D333" s="24"/>
      <c r="E333" s="24"/>
      <c r="F333" s="24"/>
      <c r="G333" s="24"/>
      <c r="I333" s="18"/>
      <c r="J333" s="19"/>
      <c r="M333" s="14"/>
      <c r="N333" s="14"/>
      <c r="O333" s="14"/>
    </row>
    <row r="334">
      <c r="D334" s="24"/>
      <c r="E334" s="24"/>
      <c r="F334" s="24"/>
      <c r="G334" s="24"/>
      <c r="I334" s="18"/>
      <c r="J334" s="19"/>
      <c r="M334" s="14"/>
      <c r="N334" s="14"/>
      <c r="O334" s="14"/>
    </row>
    <row r="335">
      <c r="D335" s="24"/>
      <c r="E335" s="24"/>
      <c r="F335" s="24"/>
      <c r="G335" s="24"/>
      <c r="I335" s="18"/>
      <c r="J335" s="19"/>
      <c r="M335" s="14"/>
      <c r="N335" s="14"/>
      <c r="O335" s="14"/>
    </row>
    <row r="336">
      <c r="D336" s="24"/>
      <c r="E336" s="24"/>
      <c r="F336" s="24"/>
      <c r="G336" s="24"/>
      <c r="I336" s="18"/>
      <c r="J336" s="19"/>
      <c r="M336" s="14"/>
      <c r="N336" s="14"/>
      <c r="O336" s="14"/>
    </row>
    <row r="337">
      <c r="D337" s="24"/>
      <c r="E337" s="24"/>
      <c r="F337" s="24"/>
      <c r="G337" s="24"/>
      <c r="I337" s="18"/>
      <c r="J337" s="19"/>
      <c r="M337" s="14"/>
      <c r="N337" s="14"/>
      <c r="O337" s="14"/>
    </row>
    <row r="338">
      <c r="D338" s="24"/>
      <c r="E338" s="24"/>
      <c r="F338" s="24"/>
      <c r="G338" s="24"/>
      <c r="I338" s="18"/>
      <c r="J338" s="19"/>
      <c r="M338" s="14"/>
      <c r="N338" s="14"/>
      <c r="O338" s="14"/>
    </row>
    <row r="339">
      <c r="D339" s="24"/>
      <c r="E339" s="24"/>
      <c r="F339" s="24"/>
      <c r="G339" s="24"/>
      <c r="I339" s="18"/>
      <c r="J339" s="19"/>
      <c r="M339" s="14"/>
      <c r="N339" s="14"/>
      <c r="O339" s="14"/>
    </row>
    <row r="340">
      <c r="D340" s="24"/>
      <c r="E340" s="24"/>
      <c r="F340" s="24"/>
      <c r="G340" s="24"/>
      <c r="I340" s="18"/>
      <c r="J340" s="19"/>
      <c r="M340" s="14"/>
      <c r="N340" s="14"/>
      <c r="O340" s="14"/>
    </row>
    <row r="341">
      <c r="D341" s="24"/>
      <c r="E341" s="24"/>
      <c r="F341" s="24"/>
      <c r="G341" s="24"/>
      <c r="I341" s="18"/>
      <c r="J341" s="19"/>
      <c r="M341" s="14"/>
      <c r="N341" s="14"/>
      <c r="O341" s="14"/>
    </row>
    <row r="342">
      <c r="D342" s="24"/>
      <c r="E342" s="24"/>
      <c r="F342" s="24"/>
      <c r="G342" s="24"/>
      <c r="I342" s="18"/>
      <c r="J342" s="19"/>
      <c r="M342" s="14"/>
      <c r="N342" s="14"/>
      <c r="O342" s="14"/>
    </row>
    <row r="343">
      <c r="D343" s="24"/>
      <c r="E343" s="24"/>
      <c r="F343" s="24"/>
      <c r="G343" s="24"/>
      <c r="I343" s="18"/>
      <c r="J343" s="19"/>
      <c r="M343" s="14"/>
      <c r="N343" s="14"/>
      <c r="O343" s="14"/>
    </row>
    <row r="344">
      <c r="D344" s="24"/>
      <c r="E344" s="24"/>
      <c r="F344" s="24"/>
      <c r="G344" s="24"/>
      <c r="I344" s="18"/>
      <c r="J344" s="19"/>
      <c r="M344" s="14"/>
      <c r="N344" s="14"/>
      <c r="O344" s="14"/>
    </row>
    <row r="345">
      <c r="D345" s="24"/>
      <c r="E345" s="24"/>
      <c r="F345" s="24"/>
      <c r="G345" s="24"/>
      <c r="I345" s="18"/>
      <c r="J345" s="19"/>
      <c r="M345" s="14"/>
      <c r="N345" s="14"/>
      <c r="O345" s="14"/>
    </row>
    <row r="346">
      <c r="D346" s="24"/>
      <c r="E346" s="24"/>
      <c r="F346" s="24"/>
      <c r="G346" s="24"/>
      <c r="I346" s="18"/>
      <c r="J346" s="19"/>
      <c r="M346" s="14"/>
      <c r="N346" s="14"/>
      <c r="O346" s="14"/>
    </row>
    <row r="347">
      <c r="D347" s="24"/>
      <c r="E347" s="24"/>
      <c r="F347" s="24"/>
      <c r="G347" s="24"/>
      <c r="I347" s="18"/>
      <c r="J347" s="19"/>
      <c r="M347" s="14"/>
      <c r="N347" s="14"/>
      <c r="O347" s="14"/>
    </row>
    <row r="348">
      <c r="D348" s="24"/>
      <c r="E348" s="24"/>
      <c r="F348" s="24"/>
      <c r="G348" s="24"/>
      <c r="I348" s="18"/>
      <c r="J348" s="19"/>
      <c r="M348" s="14"/>
      <c r="N348" s="14"/>
      <c r="O348" s="14"/>
    </row>
    <row r="349">
      <c r="D349" s="24"/>
      <c r="E349" s="24"/>
      <c r="F349" s="24"/>
      <c r="G349" s="24"/>
      <c r="I349" s="18"/>
      <c r="J349" s="19"/>
      <c r="M349" s="14"/>
      <c r="N349" s="14"/>
      <c r="O349" s="14"/>
    </row>
    <row r="350">
      <c r="D350" s="24"/>
      <c r="E350" s="24"/>
      <c r="F350" s="24"/>
      <c r="G350" s="24"/>
      <c r="I350" s="18"/>
      <c r="J350" s="19"/>
      <c r="M350" s="14"/>
      <c r="N350" s="14"/>
      <c r="O350" s="14"/>
    </row>
    <row r="351">
      <c r="D351" s="24"/>
      <c r="E351" s="24"/>
      <c r="F351" s="24"/>
      <c r="G351" s="24"/>
      <c r="I351" s="18"/>
      <c r="J351" s="19"/>
      <c r="M351" s="14"/>
      <c r="N351" s="14"/>
      <c r="O351" s="14"/>
    </row>
    <row r="352">
      <c r="D352" s="24"/>
      <c r="E352" s="24"/>
      <c r="F352" s="24"/>
      <c r="G352" s="24"/>
      <c r="I352" s="18"/>
      <c r="J352" s="19"/>
      <c r="M352" s="14"/>
      <c r="N352" s="14"/>
      <c r="O352" s="14"/>
    </row>
    <row r="353">
      <c r="D353" s="24"/>
      <c r="E353" s="24"/>
      <c r="F353" s="24"/>
      <c r="G353" s="24"/>
      <c r="I353" s="18"/>
      <c r="J353" s="19"/>
      <c r="M353" s="14"/>
      <c r="N353" s="14"/>
      <c r="O353" s="14"/>
    </row>
    <row r="354">
      <c r="D354" s="24"/>
      <c r="E354" s="24"/>
      <c r="F354" s="24"/>
      <c r="G354" s="24"/>
      <c r="I354" s="18"/>
      <c r="J354" s="19"/>
      <c r="M354" s="14"/>
      <c r="N354" s="14"/>
      <c r="O354" s="14"/>
    </row>
    <row r="355">
      <c r="D355" s="24"/>
      <c r="E355" s="24"/>
      <c r="F355" s="24"/>
      <c r="G355" s="24"/>
      <c r="I355" s="18"/>
      <c r="J355" s="19"/>
      <c r="M355" s="14"/>
      <c r="N355" s="14"/>
      <c r="O355" s="14"/>
    </row>
    <row r="356">
      <c r="D356" s="24"/>
      <c r="E356" s="24"/>
      <c r="F356" s="24"/>
      <c r="G356" s="24"/>
      <c r="I356" s="18"/>
      <c r="J356" s="19"/>
      <c r="M356" s="14"/>
      <c r="N356" s="14"/>
      <c r="O356" s="14"/>
    </row>
    <row r="357">
      <c r="D357" s="24"/>
      <c r="E357" s="24"/>
      <c r="F357" s="24"/>
      <c r="G357" s="24"/>
      <c r="I357" s="18"/>
      <c r="J357" s="19"/>
      <c r="M357" s="14"/>
      <c r="N357" s="14"/>
      <c r="O357" s="14"/>
    </row>
    <row r="358">
      <c r="D358" s="24"/>
      <c r="E358" s="24"/>
      <c r="F358" s="24"/>
      <c r="G358" s="24"/>
      <c r="I358" s="18"/>
      <c r="J358" s="19"/>
      <c r="M358" s="14"/>
      <c r="N358" s="14"/>
      <c r="O358" s="14"/>
    </row>
    <row r="359">
      <c r="D359" s="24"/>
      <c r="E359" s="24"/>
      <c r="F359" s="24"/>
      <c r="G359" s="24"/>
      <c r="I359" s="18"/>
      <c r="J359" s="19"/>
      <c r="M359" s="14"/>
      <c r="N359" s="14"/>
      <c r="O359" s="14"/>
    </row>
    <row r="360">
      <c r="D360" s="24"/>
      <c r="E360" s="24"/>
      <c r="F360" s="24"/>
      <c r="G360" s="24"/>
      <c r="I360" s="18"/>
      <c r="J360" s="19"/>
      <c r="M360" s="14"/>
      <c r="N360" s="14"/>
      <c r="O360" s="14"/>
    </row>
    <row r="361">
      <c r="D361" s="24"/>
      <c r="E361" s="24"/>
      <c r="F361" s="24"/>
      <c r="G361" s="24"/>
      <c r="I361" s="18"/>
      <c r="J361" s="19"/>
      <c r="M361" s="14"/>
      <c r="N361" s="14"/>
      <c r="O361" s="14"/>
    </row>
    <row r="362">
      <c r="D362" s="24"/>
      <c r="E362" s="24"/>
      <c r="F362" s="24"/>
      <c r="G362" s="24"/>
      <c r="I362" s="18"/>
      <c r="J362" s="19"/>
      <c r="M362" s="14"/>
      <c r="N362" s="14"/>
      <c r="O362" s="14"/>
    </row>
    <row r="363">
      <c r="D363" s="24"/>
      <c r="E363" s="24"/>
      <c r="F363" s="24"/>
      <c r="G363" s="24"/>
      <c r="I363" s="18"/>
      <c r="J363" s="19"/>
      <c r="M363" s="14"/>
      <c r="N363" s="14"/>
      <c r="O363" s="14"/>
    </row>
    <row r="364">
      <c r="D364" s="24"/>
      <c r="E364" s="24"/>
      <c r="F364" s="24"/>
      <c r="G364" s="24"/>
      <c r="I364" s="18"/>
      <c r="J364" s="19"/>
      <c r="M364" s="14"/>
      <c r="N364" s="14"/>
      <c r="O364" s="14"/>
    </row>
    <row r="365">
      <c r="D365" s="24"/>
      <c r="E365" s="24"/>
      <c r="F365" s="24"/>
      <c r="G365" s="24"/>
      <c r="I365" s="18"/>
      <c r="J365" s="19"/>
      <c r="M365" s="14"/>
      <c r="N365" s="14"/>
      <c r="O365" s="14"/>
    </row>
    <row r="366">
      <c r="D366" s="24"/>
      <c r="E366" s="24"/>
      <c r="F366" s="24"/>
      <c r="G366" s="24"/>
      <c r="I366" s="18"/>
      <c r="J366" s="19"/>
      <c r="M366" s="14"/>
      <c r="N366" s="14"/>
      <c r="O366" s="14"/>
    </row>
    <row r="367">
      <c r="D367" s="24"/>
      <c r="E367" s="24"/>
      <c r="F367" s="24"/>
      <c r="G367" s="24"/>
      <c r="I367" s="18"/>
      <c r="J367" s="19"/>
      <c r="M367" s="14"/>
      <c r="N367" s="14"/>
      <c r="O367" s="14"/>
    </row>
    <row r="368">
      <c r="D368" s="24"/>
      <c r="E368" s="24"/>
      <c r="F368" s="24"/>
      <c r="G368" s="24"/>
      <c r="I368" s="18"/>
      <c r="J368" s="19"/>
      <c r="M368" s="14"/>
      <c r="N368" s="14"/>
      <c r="O368" s="14"/>
    </row>
    <row r="369">
      <c r="D369" s="24"/>
      <c r="E369" s="24"/>
      <c r="F369" s="24"/>
      <c r="G369" s="24"/>
      <c r="I369" s="18"/>
      <c r="J369" s="19"/>
      <c r="M369" s="14"/>
      <c r="N369" s="14"/>
      <c r="O369" s="14"/>
    </row>
    <row r="370">
      <c r="D370" s="24"/>
      <c r="E370" s="24"/>
      <c r="F370" s="24"/>
      <c r="G370" s="24"/>
      <c r="I370" s="18"/>
      <c r="J370" s="19"/>
      <c r="M370" s="14"/>
      <c r="N370" s="14"/>
      <c r="O370" s="14"/>
    </row>
    <row r="371">
      <c r="D371" s="24"/>
      <c r="E371" s="24"/>
      <c r="F371" s="24"/>
      <c r="G371" s="24"/>
      <c r="I371" s="18"/>
      <c r="J371" s="19"/>
      <c r="M371" s="14"/>
      <c r="N371" s="14"/>
      <c r="O371" s="14"/>
    </row>
    <row r="372">
      <c r="D372" s="24"/>
      <c r="E372" s="24"/>
      <c r="F372" s="24"/>
      <c r="G372" s="24"/>
      <c r="I372" s="18"/>
      <c r="J372" s="19"/>
      <c r="M372" s="14"/>
      <c r="N372" s="14"/>
      <c r="O372" s="14"/>
    </row>
    <row r="373">
      <c r="D373" s="24"/>
      <c r="E373" s="24"/>
      <c r="F373" s="24"/>
      <c r="G373" s="24"/>
      <c r="I373" s="18"/>
      <c r="J373" s="19"/>
      <c r="M373" s="14"/>
      <c r="N373" s="14"/>
      <c r="O373" s="14"/>
    </row>
    <row r="374">
      <c r="D374" s="24"/>
      <c r="E374" s="24"/>
      <c r="F374" s="24"/>
      <c r="G374" s="24"/>
      <c r="I374" s="18"/>
      <c r="J374" s="19"/>
      <c r="M374" s="14"/>
      <c r="N374" s="14"/>
      <c r="O374" s="14"/>
    </row>
    <row r="375">
      <c r="D375" s="24"/>
      <c r="E375" s="24"/>
      <c r="F375" s="24"/>
      <c r="G375" s="24"/>
      <c r="I375" s="18"/>
      <c r="J375" s="19"/>
      <c r="M375" s="14"/>
      <c r="N375" s="14"/>
      <c r="O375" s="14"/>
    </row>
    <row r="376">
      <c r="D376" s="24"/>
      <c r="E376" s="24"/>
      <c r="F376" s="24"/>
      <c r="G376" s="24"/>
      <c r="I376" s="18"/>
      <c r="J376" s="19"/>
      <c r="M376" s="14"/>
      <c r="N376" s="14"/>
      <c r="O376" s="14"/>
    </row>
    <row r="377">
      <c r="D377" s="24"/>
      <c r="E377" s="24"/>
      <c r="F377" s="24"/>
      <c r="G377" s="24"/>
      <c r="I377" s="18"/>
      <c r="J377" s="19"/>
      <c r="M377" s="14"/>
      <c r="N377" s="14"/>
      <c r="O377" s="14"/>
    </row>
    <row r="378">
      <c r="D378" s="24"/>
      <c r="E378" s="24"/>
      <c r="F378" s="24"/>
      <c r="G378" s="24"/>
      <c r="I378" s="18"/>
      <c r="J378" s="19"/>
      <c r="M378" s="14"/>
      <c r="N378" s="14"/>
      <c r="O378" s="14"/>
    </row>
    <row r="379">
      <c r="D379" s="24"/>
      <c r="E379" s="24"/>
      <c r="F379" s="24"/>
      <c r="G379" s="24"/>
      <c r="I379" s="18"/>
      <c r="J379" s="19"/>
      <c r="M379" s="14"/>
      <c r="N379" s="14"/>
      <c r="O379" s="14"/>
    </row>
    <row r="380">
      <c r="D380" s="24"/>
      <c r="E380" s="24"/>
      <c r="F380" s="24"/>
      <c r="G380" s="24"/>
      <c r="I380" s="18"/>
      <c r="J380" s="19"/>
      <c r="M380" s="14"/>
      <c r="N380" s="14"/>
      <c r="O380" s="14"/>
    </row>
    <row r="381">
      <c r="D381" s="24"/>
      <c r="E381" s="24"/>
      <c r="F381" s="24"/>
      <c r="G381" s="24"/>
      <c r="I381" s="18"/>
      <c r="J381" s="19"/>
      <c r="M381" s="14"/>
      <c r="N381" s="14"/>
      <c r="O381" s="14"/>
    </row>
    <row r="382">
      <c r="D382" s="24"/>
      <c r="E382" s="24"/>
      <c r="F382" s="24"/>
      <c r="G382" s="24"/>
      <c r="I382" s="18"/>
      <c r="J382" s="19"/>
      <c r="M382" s="14"/>
      <c r="N382" s="14"/>
      <c r="O382" s="14"/>
    </row>
    <row r="383">
      <c r="D383" s="24"/>
      <c r="E383" s="24"/>
      <c r="F383" s="24"/>
      <c r="G383" s="24"/>
      <c r="I383" s="18"/>
      <c r="J383" s="19"/>
      <c r="M383" s="14"/>
      <c r="N383" s="14"/>
      <c r="O383" s="14"/>
    </row>
    <row r="384">
      <c r="D384" s="24"/>
      <c r="E384" s="24"/>
      <c r="F384" s="24"/>
      <c r="G384" s="24"/>
      <c r="I384" s="18"/>
      <c r="J384" s="19"/>
      <c r="M384" s="14"/>
      <c r="N384" s="14"/>
      <c r="O384" s="14"/>
    </row>
    <row r="385">
      <c r="D385" s="24"/>
      <c r="E385" s="24"/>
      <c r="F385" s="24"/>
      <c r="G385" s="24"/>
      <c r="I385" s="18"/>
      <c r="J385" s="19"/>
      <c r="M385" s="14"/>
      <c r="N385" s="14"/>
      <c r="O385" s="14"/>
    </row>
    <row r="386">
      <c r="D386" s="24"/>
      <c r="E386" s="24"/>
      <c r="F386" s="24"/>
      <c r="G386" s="24"/>
      <c r="I386" s="18"/>
      <c r="J386" s="19"/>
      <c r="M386" s="14"/>
      <c r="N386" s="14"/>
      <c r="O386" s="14"/>
    </row>
    <row r="387">
      <c r="D387" s="24"/>
      <c r="E387" s="24"/>
      <c r="F387" s="24"/>
      <c r="G387" s="24"/>
      <c r="I387" s="18"/>
      <c r="J387" s="19"/>
      <c r="M387" s="14"/>
      <c r="N387" s="14"/>
      <c r="O387" s="14"/>
    </row>
    <row r="388">
      <c r="D388" s="24"/>
      <c r="E388" s="24"/>
      <c r="F388" s="24"/>
      <c r="G388" s="24"/>
      <c r="I388" s="18"/>
      <c r="J388" s="19"/>
      <c r="M388" s="14"/>
      <c r="N388" s="14"/>
      <c r="O388" s="14"/>
    </row>
    <row r="389">
      <c r="D389" s="24"/>
      <c r="E389" s="24"/>
      <c r="F389" s="24"/>
      <c r="G389" s="24"/>
      <c r="I389" s="18"/>
      <c r="J389" s="19"/>
      <c r="M389" s="14"/>
      <c r="N389" s="14"/>
      <c r="O389" s="14"/>
    </row>
    <row r="390">
      <c r="D390" s="24"/>
      <c r="E390" s="24"/>
      <c r="F390" s="24"/>
      <c r="G390" s="24"/>
      <c r="I390" s="18"/>
      <c r="J390" s="19"/>
      <c r="M390" s="14"/>
      <c r="N390" s="14"/>
      <c r="O390" s="14"/>
    </row>
    <row r="391">
      <c r="D391" s="24"/>
      <c r="E391" s="24"/>
      <c r="F391" s="24"/>
      <c r="G391" s="24"/>
      <c r="I391" s="18"/>
      <c r="J391" s="19"/>
      <c r="M391" s="14"/>
      <c r="N391" s="14"/>
      <c r="O391" s="14"/>
    </row>
    <row r="392">
      <c r="D392" s="24"/>
      <c r="E392" s="24"/>
      <c r="F392" s="24"/>
      <c r="G392" s="24"/>
      <c r="I392" s="18"/>
      <c r="J392" s="19"/>
      <c r="M392" s="14"/>
      <c r="N392" s="14"/>
      <c r="O392" s="14"/>
    </row>
    <row r="393">
      <c r="D393" s="24"/>
      <c r="E393" s="24"/>
      <c r="F393" s="24"/>
      <c r="G393" s="24"/>
      <c r="I393" s="18"/>
      <c r="J393" s="19"/>
      <c r="M393" s="14"/>
      <c r="N393" s="14"/>
      <c r="O393" s="14"/>
    </row>
    <row r="394">
      <c r="D394" s="24"/>
      <c r="E394" s="24"/>
      <c r="F394" s="24"/>
      <c r="G394" s="24"/>
      <c r="I394" s="18"/>
      <c r="J394" s="19"/>
      <c r="M394" s="14"/>
      <c r="N394" s="14"/>
      <c r="O394" s="14"/>
    </row>
    <row r="395">
      <c r="D395" s="24"/>
      <c r="E395" s="24"/>
      <c r="F395" s="24"/>
      <c r="G395" s="24"/>
      <c r="I395" s="18"/>
      <c r="J395" s="19"/>
      <c r="M395" s="14"/>
      <c r="N395" s="14"/>
      <c r="O395" s="14"/>
    </row>
    <row r="396">
      <c r="D396" s="24"/>
      <c r="E396" s="24"/>
      <c r="F396" s="24"/>
      <c r="G396" s="24"/>
      <c r="I396" s="18"/>
      <c r="J396" s="19"/>
      <c r="M396" s="14"/>
      <c r="N396" s="14"/>
      <c r="O396" s="14"/>
    </row>
    <row r="397">
      <c r="D397" s="24"/>
      <c r="E397" s="24"/>
      <c r="F397" s="24"/>
      <c r="G397" s="24"/>
      <c r="I397" s="18"/>
      <c r="J397" s="19"/>
      <c r="M397" s="14"/>
      <c r="N397" s="14"/>
      <c r="O397" s="14"/>
    </row>
    <row r="398">
      <c r="D398" s="24"/>
      <c r="E398" s="24"/>
      <c r="F398" s="24"/>
      <c r="G398" s="24"/>
      <c r="I398" s="18"/>
      <c r="J398" s="19"/>
      <c r="M398" s="14"/>
      <c r="N398" s="14"/>
      <c r="O398" s="14"/>
    </row>
    <row r="399">
      <c r="D399" s="24"/>
      <c r="E399" s="24"/>
      <c r="F399" s="24"/>
      <c r="G399" s="24"/>
      <c r="I399" s="18"/>
      <c r="J399" s="19"/>
      <c r="M399" s="14"/>
      <c r="N399" s="14"/>
      <c r="O399" s="14"/>
    </row>
    <row r="400">
      <c r="D400" s="24"/>
      <c r="E400" s="24"/>
      <c r="F400" s="24"/>
      <c r="G400" s="24"/>
      <c r="I400" s="18"/>
      <c r="J400" s="19"/>
      <c r="M400" s="14"/>
      <c r="N400" s="14"/>
      <c r="O400" s="14"/>
    </row>
    <row r="401">
      <c r="D401" s="24"/>
      <c r="E401" s="24"/>
      <c r="F401" s="24"/>
      <c r="G401" s="24"/>
      <c r="I401" s="18"/>
      <c r="J401" s="19"/>
      <c r="M401" s="14"/>
      <c r="N401" s="14"/>
      <c r="O401" s="14"/>
    </row>
    <row r="402">
      <c r="D402" s="24"/>
      <c r="E402" s="24"/>
      <c r="F402" s="24"/>
      <c r="G402" s="24"/>
      <c r="I402" s="18"/>
      <c r="J402" s="19"/>
      <c r="M402" s="14"/>
      <c r="N402" s="14"/>
      <c r="O402" s="14"/>
    </row>
    <row r="403">
      <c r="D403" s="24"/>
      <c r="E403" s="24"/>
      <c r="F403" s="24"/>
      <c r="G403" s="24"/>
      <c r="I403" s="18"/>
      <c r="J403" s="19"/>
      <c r="M403" s="14"/>
      <c r="N403" s="14"/>
      <c r="O403" s="14"/>
    </row>
    <row r="404">
      <c r="D404" s="24"/>
      <c r="E404" s="24"/>
      <c r="F404" s="24"/>
      <c r="G404" s="24"/>
      <c r="I404" s="18"/>
      <c r="J404" s="19"/>
      <c r="M404" s="14"/>
      <c r="N404" s="14"/>
      <c r="O404" s="14"/>
    </row>
    <row r="405">
      <c r="D405" s="24"/>
      <c r="E405" s="24"/>
      <c r="F405" s="24"/>
      <c r="G405" s="24"/>
      <c r="I405" s="18"/>
      <c r="J405" s="19"/>
      <c r="M405" s="14"/>
      <c r="N405" s="14"/>
      <c r="O405" s="14"/>
    </row>
    <row r="406">
      <c r="D406" s="24"/>
      <c r="E406" s="24"/>
      <c r="F406" s="24"/>
      <c r="G406" s="24"/>
      <c r="I406" s="18"/>
      <c r="J406" s="19"/>
      <c r="M406" s="14"/>
      <c r="N406" s="14"/>
      <c r="O406" s="14"/>
    </row>
    <row r="407">
      <c r="D407" s="24"/>
      <c r="E407" s="24"/>
      <c r="F407" s="24"/>
      <c r="G407" s="24"/>
      <c r="I407" s="18"/>
      <c r="J407" s="19"/>
      <c r="M407" s="14"/>
      <c r="N407" s="14"/>
      <c r="O407" s="14"/>
    </row>
    <row r="408">
      <c r="D408" s="24"/>
      <c r="E408" s="24"/>
      <c r="F408" s="24"/>
      <c r="G408" s="24"/>
      <c r="I408" s="18"/>
      <c r="J408" s="19"/>
      <c r="M408" s="14"/>
      <c r="N408" s="14"/>
      <c r="O408" s="14"/>
    </row>
    <row r="409">
      <c r="D409" s="24"/>
      <c r="E409" s="24"/>
      <c r="F409" s="24"/>
      <c r="G409" s="24"/>
      <c r="I409" s="18"/>
      <c r="J409" s="19"/>
      <c r="M409" s="14"/>
      <c r="N409" s="14"/>
      <c r="O409" s="14"/>
    </row>
    <row r="410">
      <c r="D410" s="24"/>
      <c r="E410" s="24"/>
      <c r="F410" s="24"/>
      <c r="G410" s="24"/>
      <c r="I410" s="18"/>
      <c r="J410" s="19"/>
      <c r="M410" s="14"/>
      <c r="N410" s="14"/>
      <c r="O410" s="14"/>
    </row>
    <row r="411">
      <c r="D411" s="24"/>
      <c r="E411" s="24"/>
      <c r="F411" s="24"/>
      <c r="G411" s="24"/>
      <c r="I411" s="18"/>
      <c r="J411" s="19"/>
      <c r="M411" s="14"/>
      <c r="N411" s="14"/>
      <c r="O411" s="14"/>
    </row>
    <row r="412">
      <c r="D412" s="24"/>
      <c r="E412" s="24"/>
      <c r="F412" s="24"/>
      <c r="G412" s="24"/>
      <c r="I412" s="18"/>
      <c r="J412" s="19"/>
      <c r="M412" s="14"/>
      <c r="N412" s="14"/>
      <c r="O412" s="14"/>
    </row>
    <row r="413">
      <c r="D413" s="24"/>
      <c r="E413" s="24"/>
      <c r="F413" s="24"/>
      <c r="G413" s="24"/>
      <c r="I413" s="18"/>
      <c r="J413" s="19"/>
      <c r="M413" s="14"/>
      <c r="N413" s="14"/>
      <c r="O413" s="14"/>
    </row>
    <row r="414">
      <c r="D414" s="24"/>
      <c r="E414" s="24"/>
      <c r="F414" s="24"/>
      <c r="G414" s="24"/>
      <c r="I414" s="18"/>
      <c r="J414" s="19"/>
      <c r="M414" s="14"/>
      <c r="N414" s="14"/>
      <c r="O414" s="14"/>
    </row>
    <row r="415">
      <c r="D415" s="24"/>
      <c r="E415" s="24"/>
      <c r="F415" s="24"/>
      <c r="G415" s="24"/>
      <c r="I415" s="18"/>
      <c r="J415" s="19"/>
      <c r="M415" s="14"/>
      <c r="N415" s="14"/>
      <c r="O415" s="14"/>
    </row>
    <row r="416">
      <c r="D416" s="24"/>
      <c r="E416" s="24"/>
      <c r="F416" s="24"/>
      <c r="G416" s="24"/>
      <c r="I416" s="18"/>
      <c r="J416" s="19"/>
      <c r="M416" s="14"/>
      <c r="N416" s="14"/>
      <c r="O416" s="14"/>
    </row>
    <row r="417">
      <c r="D417" s="24"/>
      <c r="E417" s="24"/>
      <c r="F417" s="24"/>
      <c r="G417" s="24"/>
      <c r="I417" s="18"/>
      <c r="J417" s="19"/>
      <c r="M417" s="14"/>
      <c r="N417" s="14"/>
      <c r="O417" s="14"/>
    </row>
    <row r="418">
      <c r="D418" s="24"/>
      <c r="E418" s="24"/>
      <c r="F418" s="24"/>
      <c r="G418" s="24"/>
      <c r="I418" s="18"/>
      <c r="J418" s="19"/>
      <c r="M418" s="14"/>
      <c r="N418" s="14"/>
      <c r="O418" s="14"/>
    </row>
    <row r="419">
      <c r="D419" s="24"/>
      <c r="E419" s="24"/>
      <c r="F419" s="24"/>
      <c r="G419" s="24"/>
      <c r="I419" s="18"/>
      <c r="J419" s="19"/>
      <c r="M419" s="14"/>
      <c r="N419" s="14"/>
      <c r="O419" s="14"/>
    </row>
    <row r="420">
      <c r="D420" s="24"/>
      <c r="E420" s="24"/>
      <c r="F420" s="24"/>
      <c r="G420" s="24"/>
      <c r="I420" s="18"/>
      <c r="J420" s="19"/>
      <c r="M420" s="14"/>
      <c r="N420" s="14"/>
      <c r="O420" s="14"/>
    </row>
    <row r="421">
      <c r="D421" s="24"/>
      <c r="E421" s="24"/>
      <c r="F421" s="24"/>
      <c r="G421" s="24"/>
      <c r="I421" s="18"/>
      <c r="J421" s="19"/>
      <c r="M421" s="14"/>
      <c r="N421" s="14"/>
      <c r="O421" s="14"/>
    </row>
    <row r="422">
      <c r="D422" s="24"/>
      <c r="E422" s="24"/>
      <c r="F422" s="24"/>
      <c r="G422" s="24"/>
      <c r="I422" s="18"/>
      <c r="J422" s="19"/>
      <c r="M422" s="14"/>
      <c r="N422" s="14"/>
      <c r="O422" s="14"/>
    </row>
    <row r="423">
      <c r="D423" s="24"/>
      <c r="E423" s="24"/>
      <c r="F423" s="24"/>
      <c r="G423" s="24"/>
      <c r="I423" s="18"/>
      <c r="J423" s="19"/>
      <c r="M423" s="14"/>
      <c r="N423" s="14"/>
      <c r="O423" s="14"/>
    </row>
    <row r="424">
      <c r="D424" s="24"/>
      <c r="E424" s="24"/>
      <c r="F424" s="24"/>
      <c r="G424" s="24"/>
      <c r="I424" s="18"/>
      <c r="J424" s="19"/>
      <c r="M424" s="14"/>
      <c r="N424" s="14"/>
      <c r="O424" s="14"/>
    </row>
    <row r="425">
      <c r="D425" s="24"/>
      <c r="E425" s="24"/>
      <c r="F425" s="24"/>
      <c r="G425" s="24"/>
      <c r="I425" s="18"/>
      <c r="J425" s="19"/>
      <c r="M425" s="14"/>
      <c r="N425" s="14"/>
      <c r="O425" s="14"/>
    </row>
    <row r="426">
      <c r="D426" s="24"/>
      <c r="E426" s="24"/>
      <c r="F426" s="24"/>
      <c r="G426" s="24"/>
      <c r="I426" s="18"/>
      <c r="J426" s="19"/>
      <c r="M426" s="14"/>
      <c r="N426" s="14"/>
      <c r="O426" s="14"/>
    </row>
    <row r="427">
      <c r="D427" s="24"/>
      <c r="E427" s="24"/>
      <c r="F427" s="24"/>
      <c r="G427" s="24"/>
      <c r="I427" s="18"/>
      <c r="J427" s="19"/>
      <c r="M427" s="14"/>
      <c r="N427" s="14"/>
      <c r="O427" s="14"/>
    </row>
    <row r="428">
      <c r="D428" s="24"/>
      <c r="E428" s="24"/>
      <c r="F428" s="24"/>
      <c r="G428" s="24"/>
      <c r="I428" s="18"/>
      <c r="J428" s="19"/>
      <c r="M428" s="14"/>
      <c r="N428" s="14"/>
      <c r="O428" s="14"/>
    </row>
    <row r="429">
      <c r="D429" s="24"/>
      <c r="E429" s="24"/>
      <c r="F429" s="24"/>
      <c r="G429" s="24"/>
      <c r="I429" s="18"/>
      <c r="J429" s="19"/>
      <c r="M429" s="14"/>
      <c r="N429" s="14"/>
      <c r="O429" s="14"/>
    </row>
    <row r="430">
      <c r="D430" s="24"/>
      <c r="E430" s="24"/>
      <c r="F430" s="24"/>
      <c r="G430" s="24"/>
      <c r="I430" s="18"/>
      <c r="J430" s="19"/>
      <c r="M430" s="14"/>
      <c r="N430" s="14"/>
      <c r="O430" s="14"/>
    </row>
    <row r="431">
      <c r="D431" s="24"/>
      <c r="E431" s="24"/>
      <c r="F431" s="24"/>
      <c r="G431" s="24"/>
      <c r="I431" s="18"/>
      <c r="J431" s="19"/>
      <c r="M431" s="14"/>
      <c r="N431" s="14"/>
      <c r="O431" s="14"/>
    </row>
    <row r="432">
      <c r="D432" s="24"/>
      <c r="E432" s="24"/>
      <c r="F432" s="24"/>
      <c r="G432" s="24"/>
      <c r="I432" s="18"/>
      <c r="J432" s="19"/>
      <c r="M432" s="14"/>
      <c r="N432" s="14"/>
      <c r="O432" s="14"/>
    </row>
    <row r="433">
      <c r="D433" s="24"/>
      <c r="E433" s="24"/>
      <c r="F433" s="24"/>
      <c r="G433" s="24"/>
      <c r="I433" s="18"/>
      <c r="J433" s="19"/>
      <c r="M433" s="14"/>
      <c r="N433" s="14"/>
      <c r="O433" s="14"/>
    </row>
    <row r="434">
      <c r="D434" s="24"/>
      <c r="E434" s="24"/>
      <c r="F434" s="24"/>
      <c r="G434" s="24"/>
      <c r="I434" s="18"/>
      <c r="J434" s="19"/>
      <c r="M434" s="14"/>
      <c r="N434" s="14"/>
      <c r="O434" s="14"/>
    </row>
    <row r="435">
      <c r="D435" s="24"/>
      <c r="E435" s="24"/>
      <c r="F435" s="24"/>
      <c r="G435" s="24"/>
      <c r="I435" s="18"/>
      <c r="J435" s="19"/>
      <c r="M435" s="14"/>
      <c r="N435" s="14"/>
      <c r="O435" s="14"/>
    </row>
    <row r="436">
      <c r="D436" s="24"/>
      <c r="E436" s="24"/>
      <c r="F436" s="24"/>
      <c r="G436" s="24"/>
      <c r="I436" s="18"/>
      <c r="J436" s="19"/>
      <c r="M436" s="14"/>
      <c r="N436" s="14"/>
      <c r="O436" s="14"/>
    </row>
    <row r="437">
      <c r="D437" s="24"/>
      <c r="E437" s="24"/>
      <c r="F437" s="24"/>
      <c r="G437" s="24"/>
      <c r="I437" s="18"/>
      <c r="J437" s="19"/>
      <c r="M437" s="14"/>
      <c r="N437" s="14"/>
      <c r="O437" s="14"/>
    </row>
    <row r="438">
      <c r="D438" s="24"/>
      <c r="E438" s="24"/>
      <c r="F438" s="24"/>
      <c r="G438" s="24"/>
      <c r="I438" s="18"/>
      <c r="J438" s="19"/>
      <c r="M438" s="14"/>
      <c r="N438" s="14"/>
      <c r="O438" s="14"/>
    </row>
    <row r="439">
      <c r="D439" s="24"/>
      <c r="E439" s="24"/>
      <c r="F439" s="24"/>
      <c r="G439" s="24"/>
      <c r="I439" s="18"/>
      <c r="J439" s="19"/>
      <c r="M439" s="14"/>
      <c r="N439" s="14"/>
      <c r="O439" s="14"/>
    </row>
    <row r="440">
      <c r="D440" s="24"/>
      <c r="E440" s="24"/>
      <c r="F440" s="24"/>
      <c r="G440" s="24"/>
      <c r="I440" s="18"/>
      <c r="J440" s="19"/>
      <c r="M440" s="14"/>
      <c r="N440" s="14"/>
      <c r="O440" s="14"/>
    </row>
    <row r="441">
      <c r="D441" s="24"/>
      <c r="E441" s="24"/>
      <c r="F441" s="24"/>
      <c r="G441" s="24"/>
      <c r="I441" s="18"/>
      <c r="J441" s="19"/>
      <c r="M441" s="14"/>
      <c r="N441" s="14"/>
      <c r="O441" s="14"/>
    </row>
    <row r="442">
      <c r="D442" s="24"/>
      <c r="E442" s="24"/>
      <c r="F442" s="24"/>
      <c r="G442" s="24"/>
      <c r="I442" s="18"/>
      <c r="J442" s="19"/>
      <c r="M442" s="14"/>
      <c r="N442" s="14"/>
      <c r="O442" s="14"/>
    </row>
    <row r="443">
      <c r="D443" s="24"/>
      <c r="E443" s="24"/>
      <c r="F443" s="24"/>
      <c r="G443" s="24"/>
      <c r="I443" s="18"/>
      <c r="J443" s="19"/>
      <c r="M443" s="14"/>
      <c r="N443" s="14"/>
      <c r="O443" s="14"/>
    </row>
    <row r="444">
      <c r="D444" s="24"/>
      <c r="E444" s="24"/>
      <c r="F444" s="24"/>
      <c r="G444" s="24"/>
      <c r="I444" s="18"/>
      <c r="J444" s="19"/>
      <c r="M444" s="14"/>
      <c r="N444" s="14"/>
      <c r="O444" s="14"/>
    </row>
    <row r="445">
      <c r="D445" s="24"/>
      <c r="E445" s="24"/>
      <c r="F445" s="24"/>
      <c r="G445" s="24"/>
      <c r="I445" s="18"/>
      <c r="J445" s="19"/>
      <c r="M445" s="14"/>
      <c r="N445" s="14"/>
      <c r="O445" s="14"/>
    </row>
    <row r="446">
      <c r="D446" s="24"/>
      <c r="E446" s="24"/>
      <c r="F446" s="24"/>
      <c r="G446" s="24"/>
      <c r="I446" s="18"/>
      <c r="J446" s="19"/>
      <c r="M446" s="14"/>
      <c r="N446" s="14"/>
      <c r="O446" s="14"/>
    </row>
    <row r="447">
      <c r="D447" s="24"/>
      <c r="E447" s="24"/>
      <c r="F447" s="24"/>
      <c r="G447" s="24"/>
      <c r="I447" s="18"/>
      <c r="J447" s="19"/>
      <c r="M447" s="14"/>
      <c r="N447" s="14"/>
      <c r="O447" s="14"/>
    </row>
    <row r="448">
      <c r="D448" s="24"/>
      <c r="E448" s="24"/>
      <c r="F448" s="24"/>
      <c r="G448" s="24"/>
      <c r="I448" s="18"/>
      <c r="J448" s="19"/>
      <c r="M448" s="14"/>
      <c r="N448" s="14"/>
      <c r="O448" s="14"/>
    </row>
    <row r="449">
      <c r="D449" s="24"/>
      <c r="E449" s="24"/>
      <c r="F449" s="24"/>
      <c r="G449" s="24"/>
      <c r="I449" s="18"/>
      <c r="J449" s="19"/>
      <c r="M449" s="14"/>
      <c r="N449" s="14"/>
      <c r="O449" s="14"/>
    </row>
    <row r="450">
      <c r="D450" s="24"/>
      <c r="E450" s="24"/>
      <c r="F450" s="24"/>
      <c r="G450" s="24"/>
      <c r="I450" s="18"/>
      <c r="J450" s="19"/>
      <c r="M450" s="14"/>
      <c r="N450" s="14"/>
      <c r="O450" s="14"/>
    </row>
    <row r="451">
      <c r="D451" s="24"/>
      <c r="E451" s="24"/>
      <c r="F451" s="24"/>
      <c r="G451" s="24"/>
      <c r="I451" s="18"/>
      <c r="J451" s="19"/>
      <c r="M451" s="14"/>
      <c r="N451" s="14"/>
      <c r="O451" s="14"/>
    </row>
    <row r="452">
      <c r="D452" s="24"/>
      <c r="E452" s="24"/>
      <c r="F452" s="24"/>
      <c r="G452" s="24"/>
      <c r="I452" s="18"/>
      <c r="J452" s="19"/>
      <c r="M452" s="14"/>
      <c r="N452" s="14"/>
      <c r="O452" s="14"/>
    </row>
    <row r="453">
      <c r="D453" s="24"/>
      <c r="E453" s="24"/>
      <c r="F453" s="24"/>
      <c r="G453" s="24"/>
      <c r="I453" s="18"/>
      <c r="J453" s="19"/>
      <c r="M453" s="14"/>
      <c r="N453" s="14"/>
      <c r="O453" s="14"/>
    </row>
    <row r="454">
      <c r="D454" s="24"/>
      <c r="E454" s="24"/>
      <c r="F454" s="24"/>
      <c r="G454" s="24"/>
      <c r="I454" s="18"/>
      <c r="J454" s="19"/>
      <c r="M454" s="14"/>
      <c r="N454" s="14"/>
      <c r="O454" s="14"/>
    </row>
    <row r="455">
      <c r="D455" s="24"/>
      <c r="E455" s="24"/>
      <c r="F455" s="24"/>
      <c r="G455" s="24"/>
      <c r="I455" s="18"/>
      <c r="J455" s="19"/>
      <c r="M455" s="14"/>
      <c r="N455" s="14"/>
      <c r="O455" s="14"/>
    </row>
    <row r="456">
      <c r="D456" s="24"/>
      <c r="E456" s="24"/>
      <c r="F456" s="24"/>
      <c r="G456" s="24"/>
      <c r="I456" s="18"/>
      <c r="J456" s="19"/>
      <c r="M456" s="14"/>
      <c r="N456" s="14"/>
      <c r="O456" s="14"/>
    </row>
    <row r="457">
      <c r="D457" s="24"/>
      <c r="E457" s="24"/>
      <c r="F457" s="24"/>
      <c r="G457" s="24"/>
      <c r="I457" s="18"/>
      <c r="J457" s="19"/>
      <c r="M457" s="14"/>
      <c r="N457" s="14"/>
      <c r="O457" s="14"/>
    </row>
    <row r="458">
      <c r="D458" s="24"/>
      <c r="E458" s="24"/>
      <c r="F458" s="24"/>
      <c r="G458" s="24"/>
      <c r="I458" s="18"/>
      <c r="J458" s="19"/>
      <c r="M458" s="14"/>
      <c r="N458" s="14"/>
      <c r="O458" s="14"/>
    </row>
    <row r="459">
      <c r="D459" s="24"/>
      <c r="E459" s="24"/>
      <c r="F459" s="24"/>
      <c r="G459" s="24"/>
      <c r="I459" s="18"/>
      <c r="J459" s="19"/>
      <c r="M459" s="14"/>
      <c r="N459" s="14"/>
      <c r="O459" s="14"/>
    </row>
    <row r="460">
      <c r="D460" s="24"/>
      <c r="E460" s="24"/>
      <c r="F460" s="24"/>
      <c r="G460" s="24"/>
      <c r="I460" s="18"/>
      <c r="J460" s="19"/>
      <c r="M460" s="14"/>
      <c r="N460" s="14"/>
      <c r="O460" s="14"/>
    </row>
    <row r="461">
      <c r="D461" s="24"/>
      <c r="E461" s="24"/>
      <c r="F461" s="24"/>
      <c r="G461" s="24"/>
      <c r="I461" s="18"/>
      <c r="J461" s="19"/>
      <c r="M461" s="14"/>
      <c r="N461" s="14"/>
      <c r="O461" s="14"/>
    </row>
    <row r="462">
      <c r="D462" s="24"/>
      <c r="E462" s="24"/>
      <c r="F462" s="24"/>
      <c r="G462" s="24"/>
      <c r="I462" s="18"/>
      <c r="J462" s="19"/>
      <c r="M462" s="14"/>
      <c r="N462" s="14"/>
      <c r="O462" s="14"/>
    </row>
    <row r="463">
      <c r="D463" s="24"/>
      <c r="E463" s="24"/>
      <c r="F463" s="24"/>
      <c r="G463" s="24"/>
      <c r="I463" s="18"/>
      <c r="J463" s="19"/>
      <c r="M463" s="14"/>
      <c r="N463" s="14"/>
      <c r="O463" s="14"/>
    </row>
    <row r="464">
      <c r="D464" s="24"/>
      <c r="E464" s="24"/>
      <c r="F464" s="24"/>
      <c r="G464" s="24"/>
      <c r="I464" s="18"/>
      <c r="J464" s="19"/>
      <c r="M464" s="14"/>
      <c r="N464" s="14"/>
      <c r="O464" s="14"/>
    </row>
    <row r="465">
      <c r="D465" s="24"/>
      <c r="E465" s="24"/>
      <c r="F465" s="24"/>
      <c r="G465" s="24"/>
      <c r="I465" s="18"/>
      <c r="J465" s="19"/>
      <c r="M465" s="14"/>
      <c r="N465" s="14"/>
      <c r="O465" s="14"/>
    </row>
    <row r="466">
      <c r="D466" s="24"/>
      <c r="E466" s="24"/>
      <c r="F466" s="24"/>
      <c r="G466" s="24"/>
      <c r="I466" s="18"/>
      <c r="J466" s="19"/>
      <c r="M466" s="14"/>
      <c r="N466" s="14"/>
      <c r="O466" s="14"/>
    </row>
    <row r="467">
      <c r="D467" s="24"/>
      <c r="E467" s="24"/>
      <c r="F467" s="24"/>
      <c r="G467" s="24"/>
      <c r="I467" s="18"/>
      <c r="J467" s="19"/>
      <c r="M467" s="14"/>
      <c r="N467" s="14"/>
      <c r="O467" s="14"/>
    </row>
    <row r="468">
      <c r="D468" s="24"/>
      <c r="E468" s="24"/>
      <c r="F468" s="24"/>
      <c r="G468" s="24"/>
      <c r="I468" s="18"/>
      <c r="J468" s="19"/>
      <c r="M468" s="14"/>
      <c r="N468" s="14"/>
      <c r="O468" s="14"/>
    </row>
    <row r="469">
      <c r="D469" s="24"/>
      <c r="E469" s="24"/>
      <c r="F469" s="24"/>
      <c r="G469" s="24"/>
      <c r="I469" s="18"/>
      <c r="J469" s="19"/>
      <c r="M469" s="14"/>
      <c r="N469" s="14"/>
      <c r="O469" s="14"/>
    </row>
    <row r="470">
      <c r="D470" s="24"/>
      <c r="E470" s="24"/>
      <c r="F470" s="24"/>
      <c r="G470" s="24"/>
      <c r="I470" s="18"/>
      <c r="J470" s="19"/>
      <c r="M470" s="14"/>
      <c r="N470" s="14"/>
      <c r="O470" s="14"/>
    </row>
    <row r="471">
      <c r="D471" s="24"/>
      <c r="E471" s="24"/>
      <c r="F471" s="24"/>
      <c r="G471" s="24"/>
      <c r="I471" s="18"/>
      <c r="J471" s="19"/>
      <c r="M471" s="14"/>
      <c r="N471" s="14"/>
      <c r="O471" s="14"/>
    </row>
    <row r="472">
      <c r="D472" s="24"/>
      <c r="E472" s="24"/>
      <c r="F472" s="24"/>
      <c r="G472" s="24"/>
      <c r="I472" s="18"/>
      <c r="J472" s="19"/>
      <c r="M472" s="14"/>
      <c r="N472" s="14"/>
      <c r="O472" s="14"/>
    </row>
    <row r="473">
      <c r="D473" s="24"/>
      <c r="E473" s="24"/>
      <c r="F473" s="24"/>
      <c r="G473" s="24"/>
      <c r="I473" s="18"/>
      <c r="J473" s="19"/>
      <c r="M473" s="14"/>
      <c r="N473" s="14"/>
      <c r="O473" s="14"/>
    </row>
    <row r="474">
      <c r="D474" s="24"/>
      <c r="E474" s="24"/>
      <c r="F474" s="24"/>
      <c r="G474" s="24"/>
      <c r="I474" s="18"/>
      <c r="J474" s="19"/>
      <c r="M474" s="14"/>
      <c r="N474" s="14"/>
      <c r="O474" s="14"/>
    </row>
    <row r="475">
      <c r="D475" s="24"/>
      <c r="E475" s="24"/>
      <c r="F475" s="24"/>
      <c r="G475" s="24"/>
      <c r="I475" s="18"/>
      <c r="J475" s="19"/>
      <c r="M475" s="14"/>
      <c r="N475" s="14"/>
      <c r="O475" s="14"/>
    </row>
    <row r="476">
      <c r="D476" s="24"/>
      <c r="E476" s="24"/>
      <c r="F476" s="24"/>
      <c r="G476" s="24"/>
      <c r="I476" s="18"/>
      <c r="J476" s="19"/>
      <c r="M476" s="14"/>
      <c r="N476" s="14"/>
      <c r="O476" s="14"/>
    </row>
    <row r="477">
      <c r="D477" s="24"/>
      <c r="E477" s="24"/>
      <c r="F477" s="24"/>
      <c r="G477" s="24"/>
      <c r="I477" s="18"/>
      <c r="J477" s="19"/>
      <c r="M477" s="14"/>
      <c r="N477" s="14"/>
      <c r="O477" s="14"/>
    </row>
    <row r="478">
      <c r="D478" s="24"/>
      <c r="E478" s="24"/>
      <c r="F478" s="24"/>
      <c r="G478" s="24"/>
      <c r="I478" s="18"/>
      <c r="J478" s="19"/>
      <c r="M478" s="14"/>
      <c r="N478" s="14"/>
      <c r="O478" s="14"/>
    </row>
    <row r="479">
      <c r="D479" s="24"/>
      <c r="E479" s="24"/>
      <c r="F479" s="24"/>
      <c r="G479" s="24"/>
      <c r="I479" s="18"/>
      <c r="J479" s="19"/>
      <c r="M479" s="14"/>
      <c r="N479" s="14"/>
      <c r="O479" s="14"/>
    </row>
    <row r="480">
      <c r="D480" s="24"/>
      <c r="E480" s="24"/>
      <c r="F480" s="24"/>
      <c r="G480" s="24"/>
      <c r="I480" s="18"/>
      <c r="J480" s="19"/>
      <c r="M480" s="14"/>
      <c r="N480" s="14"/>
      <c r="O480" s="14"/>
    </row>
    <row r="481">
      <c r="D481" s="24"/>
      <c r="E481" s="24"/>
      <c r="F481" s="24"/>
      <c r="G481" s="24"/>
      <c r="I481" s="18"/>
      <c r="J481" s="19"/>
      <c r="M481" s="14"/>
      <c r="N481" s="14"/>
      <c r="O481" s="14"/>
    </row>
    <row r="482">
      <c r="D482" s="24"/>
      <c r="E482" s="24"/>
      <c r="F482" s="24"/>
      <c r="G482" s="24"/>
      <c r="I482" s="18"/>
      <c r="J482" s="19"/>
      <c r="M482" s="14"/>
      <c r="N482" s="14"/>
      <c r="O482" s="14"/>
    </row>
    <row r="483">
      <c r="D483" s="24"/>
      <c r="E483" s="24"/>
      <c r="F483" s="24"/>
      <c r="G483" s="24"/>
      <c r="I483" s="18"/>
      <c r="J483" s="19"/>
      <c r="M483" s="14"/>
      <c r="N483" s="14"/>
      <c r="O483" s="14"/>
    </row>
    <row r="484">
      <c r="D484" s="24"/>
      <c r="E484" s="24"/>
      <c r="F484" s="24"/>
      <c r="G484" s="24"/>
      <c r="I484" s="18"/>
      <c r="J484" s="19"/>
      <c r="M484" s="14"/>
      <c r="N484" s="14"/>
      <c r="O484" s="14"/>
    </row>
    <row r="485">
      <c r="D485" s="24"/>
      <c r="E485" s="24"/>
      <c r="F485" s="24"/>
      <c r="G485" s="24"/>
      <c r="I485" s="18"/>
      <c r="J485" s="19"/>
      <c r="M485" s="14"/>
      <c r="N485" s="14"/>
      <c r="O485" s="14"/>
    </row>
    <row r="486">
      <c r="D486" s="24"/>
      <c r="E486" s="24"/>
      <c r="F486" s="24"/>
      <c r="G486" s="24"/>
      <c r="I486" s="18"/>
      <c r="J486" s="19"/>
      <c r="M486" s="14"/>
      <c r="N486" s="14"/>
      <c r="O486" s="14"/>
    </row>
    <row r="487">
      <c r="D487" s="24"/>
      <c r="E487" s="24"/>
      <c r="F487" s="24"/>
      <c r="G487" s="24"/>
      <c r="I487" s="18"/>
      <c r="J487" s="19"/>
      <c r="M487" s="14"/>
      <c r="N487" s="14"/>
      <c r="O487" s="14"/>
    </row>
    <row r="488">
      <c r="D488" s="24"/>
      <c r="E488" s="24"/>
      <c r="F488" s="24"/>
      <c r="G488" s="24"/>
      <c r="I488" s="18"/>
      <c r="J488" s="19"/>
      <c r="M488" s="14"/>
      <c r="N488" s="14"/>
      <c r="O488" s="14"/>
    </row>
    <row r="489">
      <c r="D489" s="24"/>
      <c r="E489" s="24"/>
      <c r="F489" s="24"/>
      <c r="G489" s="24"/>
      <c r="I489" s="18"/>
      <c r="J489" s="19"/>
      <c r="M489" s="14"/>
      <c r="N489" s="14"/>
      <c r="O489" s="14"/>
    </row>
    <row r="490">
      <c r="D490" s="24"/>
      <c r="E490" s="24"/>
      <c r="F490" s="24"/>
      <c r="G490" s="24"/>
      <c r="I490" s="18"/>
      <c r="J490" s="19"/>
      <c r="M490" s="14"/>
      <c r="N490" s="14"/>
      <c r="O490" s="14"/>
    </row>
    <row r="491">
      <c r="D491" s="24"/>
      <c r="E491" s="24"/>
      <c r="F491" s="24"/>
      <c r="G491" s="24"/>
      <c r="I491" s="18"/>
      <c r="J491" s="19"/>
      <c r="M491" s="14"/>
      <c r="N491" s="14"/>
      <c r="O491" s="14"/>
    </row>
    <row r="492">
      <c r="D492" s="24"/>
      <c r="E492" s="24"/>
      <c r="F492" s="24"/>
      <c r="G492" s="24"/>
      <c r="I492" s="18"/>
      <c r="J492" s="19"/>
      <c r="M492" s="14"/>
      <c r="N492" s="14"/>
      <c r="O492" s="14"/>
    </row>
    <row r="493">
      <c r="D493" s="24"/>
      <c r="E493" s="24"/>
      <c r="F493" s="24"/>
      <c r="G493" s="24"/>
      <c r="I493" s="18"/>
      <c r="J493" s="19"/>
      <c r="M493" s="14"/>
      <c r="N493" s="14"/>
      <c r="O493" s="14"/>
    </row>
    <row r="494">
      <c r="D494" s="24"/>
      <c r="E494" s="24"/>
      <c r="F494" s="24"/>
      <c r="G494" s="24"/>
      <c r="I494" s="18"/>
      <c r="J494" s="19"/>
      <c r="M494" s="14"/>
      <c r="N494" s="14"/>
      <c r="O494" s="14"/>
    </row>
    <row r="495">
      <c r="D495" s="24"/>
      <c r="E495" s="24"/>
      <c r="F495" s="24"/>
      <c r="G495" s="24"/>
      <c r="I495" s="18"/>
      <c r="J495" s="19"/>
      <c r="M495" s="14"/>
      <c r="N495" s="14"/>
      <c r="O495" s="14"/>
    </row>
    <row r="496">
      <c r="D496" s="24"/>
      <c r="E496" s="24"/>
      <c r="F496" s="24"/>
      <c r="G496" s="24"/>
      <c r="I496" s="18"/>
      <c r="J496" s="19"/>
      <c r="M496" s="14"/>
      <c r="N496" s="14"/>
      <c r="O496" s="14"/>
    </row>
    <row r="497">
      <c r="D497" s="24"/>
      <c r="E497" s="24"/>
      <c r="F497" s="24"/>
      <c r="G497" s="24"/>
      <c r="I497" s="18"/>
      <c r="J497" s="19"/>
      <c r="M497" s="14"/>
      <c r="N497" s="14"/>
      <c r="O497" s="14"/>
    </row>
    <row r="498">
      <c r="D498" s="24"/>
      <c r="E498" s="24"/>
      <c r="F498" s="24"/>
      <c r="G498" s="24"/>
      <c r="I498" s="18"/>
      <c r="J498" s="19"/>
      <c r="M498" s="14"/>
      <c r="N498" s="14"/>
      <c r="O498" s="14"/>
    </row>
    <row r="499">
      <c r="D499" s="24"/>
      <c r="E499" s="24"/>
      <c r="F499" s="24"/>
      <c r="G499" s="24"/>
      <c r="I499" s="18"/>
      <c r="J499" s="19"/>
      <c r="M499" s="14"/>
      <c r="N499" s="14"/>
      <c r="O499" s="14"/>
    </row>
    <row r="500">
      <c r="D500" s="24"/>
      <c r="E500" s="24"/>
      <c r="F500" s="24"/>
      <c r="G500" s="24"/>
      <c r="I500" s="18"/>
      <c r="J500" s="19"/>
      <c r="M500" s="14"/>
      <c r="N500" s="14"/>
      <c r="O500" s="14"/>
    </row>
    <row r="501">
      <c r="D501" s="24"/>
      <c r="E501" s="24"/>
      <c r="F501" s="24"/>
      <c r="G501" s="24"/>
      <c r="I501" s="18"/>
      <c r="J501" s="19"/>
      <c r="M501" s="14"/>
      <c r="N501" s="14"/>
      <c r="O501" s="14"/>
    </row>
    <row r="502">
      <c r="D502" s="24"/>
      <c r="E502" s="24"/>
      <c r="F502" s="24"/>
      <c r="G502" s="24"/>
      <c r="I502" s="18"/>
      <c r="J502" s="19"/>
      <c r="M502" s="14"/>
      <c r="N502" s="14"/>
      <c r="O502" s="14"/>
    </row>
    <row r="503">
      <c r="D503" s="24"/>
      <c r="E503" s="24"/>
      <c r="F503" s="24"/>
      <c r="G503" s="24"/>
      <c r="I503" s="18"/>
      <c r="J503" s="19"/>
      <c r="M503" s="14"/>
      <c r="N503" s="14"/>
      <c r="O503" s="14"/>
    </row>
    <row r="504">
      <c r="D504" s="24"/>
      <c r="E504" s="24"/>
      <c r="F504" s="24"/>
      <c r="G504" s="24"/>
      <c r="I504" s="18"/>
      <c r="J504" s="19"/>
      <c r="M504" s="14"/>
      <c r="N504" s="14"/>
      <c r="O504" s="14"/>
    </row>
    <row r="505">
      <c r="D505" s="24"/>
      <c r="E505" s="24"/>
      <c r="F505" s="24"/>
      <c r="G505" s="24"/>
      <c r="I505" s="18"/>
      <c r="J505" s="19"/>
      <c r="M505" s="14"/>
      <c r="N505" s="14"/>
      <c r="O505" s="14"/>
    </row>
    <row r="506">
      <c r="D506" s="24"/>
      <c r="E506" s="24"/>
      <c r="F506" s="24"/>
      <c r="G506" s="24"/>
      <c r="I506" s="18"/>
      <c r="J506" s="19"/>
      <c r="M506" s="14"/>
      <c r="N506" s="14"/>
      <c r="O506" s="14"/>
    </row>
    <row r="507">
      <c r="D507" s="24"/>
      <c r="E507" s="24"/>
      <c r="F507" s="24"/>
      <c r="G507" s="24"/>
      <c r="I507" s="18"/>
      <c r="J507" s="19"/>
      <c r="M507" s="14"/>
      <c r="N507" s="14"/>
      <c r="O507" s="14"/>
    </row>
    <row r="508">
      <c r="D508" s="24"/>
      <c r="E508" s="24"/>
      <c r="F508" s="24"/>
      <c r="G508" s="24"/>
      <c r="I508" s="18"/>
      <c r="J508" s="19"/>
      <c r="M508" s="14"/>
      <c r="N508" s="14"/>
      <c r="O508" s="14"/>
    </row>
    <row r="509">
      <c r="D509" s="24"/>
      <c r="E509" s="24"/>
      <c r="F509" s="24"/>
      <c r="G509" s="24"/>
      <c r="I509" s="18"/>
      <c r="J509" s="19"/>
      <c r="M509" s="14"/>
      <c r="N509" s="14"/>
      <c r="O509" s="14"/>
    </row>
    <row r="510">
      <c r="D510" s="24"/>
      <c r="E510" s="24"/>
      <c r="F510" s="24"/>
      <c r="G510" s="24"/>
      <c r="I510" s="18"/>
      <c r="J510" s="19"/>
      <c r="M510" s="14"/>
      <c r="N510" s="14"/>
      <c r="O510" s="14"/>
    </row>
    <row r="511">
      <c r="D511" s="24"/>
      <c r="E511" s="24"/>
      <c r="F511" s="24"/>
      <c r="G511" s="24"/>
      <c r="I511" s="18"/>
      <c r="J511" s="19"/>
      <c r="M511" s="14"/>
      <c r="N511" s="14"/>
      <c r="O511" s="14"/>
    </row>
    <row r="512">
      <c r="D512" s="24"/>
      <c r="E512" s="24"/>
      <c r="F512" s="24"/>
      <c r="G512" s="24"/>
      <c r="I512" s="18"/>
      <c r="J512" s="19"/>
      <c r="M512" s="14"/>
      <c r="N512" s="14"/>
      <c r="O512" s="14"/>
    </row>
    <row r="513">
      <c r="D513" s="24"/>
      <c r="E513" s="24"/>
      <c r="F513" s="24"/>
      <c r="G513" s="24"/>
      <c r="I513" s="18"/>
      <c r="J513" s="19"/>
      <c r="M513" s="14"/>
      <c r="N513" s="14"/>
      <c r="O513" s="14"/>
    </row>
    <row r="514">
      <c r="D514" s="24"/>
      <c r="E514" s="24"/>
      <c r="F514" s="24"/>
      <c r="G514" s="24"/>
      <c r="I514" s="18"/>
      <c r="J514" s="19"/>
      <c r="M514" s="14"/>
      <c r="N514" s="14"/>
      <c r="O514" s="14"/>
    </row>
    <row r="515">
      <c r="D515" s="24"/>
      <c r="E515" s="24"/>
      <c r="F515" s="24"/>
      <c r="G515" s="24"/>
      <c r="I515" s="18"/>
      <c r="J515" s="19"/>
      <c r="M515" s="14"/>
      <c r="N515" s="14"/>
      <c r="O515" s="14"/>
    </row>
    <row r="516">
      <c r="D516" s="24"/>
      <c r="E516" s="24"/>
      <c r="F516" s="24"/>
      <c r="G516" s="24"/>
      <c r="I516" s="18"/>
      <c r="J516" s="19"/>
      <c r="M516" s="14"/>
      <c r="N516" s="14"/>
      <c r="O516" s="14"/>
    </row>
    <row r="517">
      <c r="D517" s="24"/>
      <c r="E517" s="24"/>
      <c r="F517" s="24"/>
      <c r="G517" s="24"/>
      <c r="I517" s="18"/>
      <c r="J517" s="19"/>
      <c r="M517" s="14"/>
      <c r="N517" s="14"/>
      <c r="O517" s="14"/>
    </row>
    <row r="518">
      <c r="D518" s="24"/>
      <c r="E518" s="24"/>
      <c r="F518" s="24"/>
      <c r="G518" s="24"/>
      <c r="I518" s="18"/>
      <c r="J518" s="19"/>
      <c r="M518" s="14"/>
      <c r="N518" s="14"/>
      <c r="O518" s="14"/>
    </row>
    <row r="519">
      <c r="D519" s="24"/>
      <c r="E519" s="24"/>
      <c r="F519" s="24"/>
      <c r="G519" s="24"/>
      <c r="I519" s="18"/>
      <c r="J519" s="19"/>
      <c r="M519" s="14"/>
      <c r="N519" s="14"/>
      <c r="O519" s="14"/>
    </row>
    <row r="520">
      <c r="D520" s="24"/>
      <c r="E520" s="24"/>
      <c r="F520" s="24"/>
      <c r="G520" s="24"/>
      <c r="I520" s="18"/>
      <c r="J520" s="19"/>
      <c r="M520" s="14"/>
      <c r="N520" s="14"/>
      <c r="O520" s="14"/>
    </row>
    <row r="521">
      <c r="D521" s="24"/>
      <c r="E521" s="24"/>
      <c r="F521" s="24"/>
      <c r="G521" s="24"/>
      <c r="I521" s="18"/>
      <c r="J521" s="19"/>
      <c r="M521" s="14"/>
      <c r="N521" s="14"/>
      <c r="O521" s="14"/>
    </row>
    <row r="522">
      <c r="D522" s="24"/>
      <c r="E522" s="24"/>
      <c r="F522" s="24"/>
      <c r="G522" s="24"/>
      <c r="I522" s="18"/>
      <c r="J522" s="19"/>
      <c r="M522" s="14"/>
      <c r="N522" s="14"/>
      <c r="O522" s="14"/>
    </row>
    <row r="523">
      <c r="D523" s="24"/>
      <c r="E523" s="24"/>
      <c r="F523" s="24"/>
      <c r="G523" s="24"/>
      <c r="I523" s="18"/>
      <c r="J523" s="19"/>
      <c r="M523" s="14"/>
      <c r="N523" s="14"/>
      <c r="O523" s="14"/>
    </row>
    <row r="524">
      <c r="D524" s="24"/>
      <c r="E524" s="24"/>
      <c r="F524" s="24"/>
      <c r="G524" s="24"/>
      <c r="I524" s="18"/>
      <c r="J524" s="19"/>
      <c r="M524" s="14"/>
      <c r="N524" s="14"/>
      <c r="O524" s="14"/>
    </row>
    <row r="525">
      <c r="D525" s="24"/>
      <c r="E525" s="24"/>
      <c r="F525" s="24"/>
      <c r="G525" s="24"/>
      <c r="I525" s="18"/>
      <c r="J525" s="19"/>
      <c r="M525" s="14"/>
      <c r="N525" s="14"/>
      <c r="O525" s="14"/>
    </row>
    <row r="526">
      <c r="D526" s="24"/>
      <c r="E526" s="24"/>
      <c r="F526" s="24"/>
      <c r="G526" s="24"/>
      <c r="I526" s="18"/>
      <c r="J526" s="19"/>
      <c r="M526" s="14"/>
      <c r="N526" s="14"/>
      <c r="O526" s="14"/>
    </row>
    <row r="527">
      <c r="D527" s="24"/>
      <c r="E527" s="24"/>
      <c r="F527" s="24"/>
      <c r="G527" s="24"/>
      <c r="I527" s="18"/>
      <c r="J527" s="19"/>
      <c r="M527" s="14"/>
      <c r="N527" s="14"/>
      <c r="O527" s="14"/>
    </row>
    <row r="528">
      <c r="D528" s="24"/>
      <c r="E528" s="24"/>
      <c r="F528" s="24"/>
      <c r="G528" s="24"/>
      <c r="I528" s="18"/>
      <c r="J528" s="19"/>
      <c r="M528" s="14"/>
      <c r="N528" s="14"/>
      <c r="O528" s="14"/>
    </row>
    <row r="529">
      <c r="D529" s="24"/>
      <c r="E529" s="24"/>
      <c r="F529" s="24"/>
      <c r="G529" s="24"/>
      <c r="I529" s="18"/>
      <c r="J529" s="19"/>
      <c r="M529" s="14"/>
      <c r="N529" s="14"/>
      <c r="O529" s="14"/>
    </row>
    <row r="530">
      <c r="D530" s="24"/>
      <c r="E530" s="24"/>
      <c r="F530" s="24"/>
      <c r="G530" s="24"/>
      <c r="I530" s="18"/>
      <c r="J530" s="19"/>
      <c r="M530" s="14"/>
      <c r="N530" s="14"/>
      <c r="O530" s="14"/>
    </row>
    <row r="531">
      <c r="D531" s="24"/>
      <c r="E531" s="24"/>
      <c r="F531" s="24"/>
      <c r="G531" s="24"/>
      <c r="I531" s="18"/>
      <c r="J531" s="19"/>
      <c r="M531" s="14"/>
      <c r="N531" s="14"/>
      <c r="O531" s="14"/>
    </row>
    <row r="532">
      <c r="D532" s="24"/>
      <c r="E532" s="24"/>
      <c r="F532" s="24"/>
      <c r="G532" s="24"/>
      <c r="I532" s="18"/>
      <c r="J532" s="19"/>
      <c r="M532" s="14"/>
      <c r="N532" s="14"/>
      <c r="O532" s="14"/>
    </row>
    <row r="533">
      <c r="D533" s="24"/>
      <c r="E533" s="24"/>
      <c r="F533" s="24"/>
      <c r="G533" s="24"/>
      <c r="I533" s="18"/>
      <c r="J533" s="19"/>
      <c r="M533" s="14"/>
      <c r="N533" s="14"/>
      <c r="O533" s="14"/>
    </row>
    <row r="534">
      <c r="D534" s="24"/>
      <c r="E534" s="24"/>
      <c r="F534" s="24"/>
      <c r="G534" s="24"/>
      <c r="I534" s="18"/>
      <c r="J534" s="19"/>
      <c r="M534" s="14"/>
      <c r="N534" s="14"/>
      <c r="O534" s="14"/>
    </row>
    <row r="535">
      <c r="D535" s="24"/>
      <c r="E535" s="24"/>
      <c r="F535" s="24"/>
      <c r="G535" s="24"/>
      <c r="I535" s="18"/>
      <c r="J535" s="19"/>
      <c r="M535" s="14"/>
      <c r="N535" s="14"/>
      <c r="O535" s="14"/>
    </row>
    <row r="536">
      <c r="D536" s="24"/>
      <c r="E536" s="24"/>
      <c r="F536" s="24"/>
      <c r="G536" s="24"/>
      <c r="I536" s="18"/>
      <c r="J536" s="19"/>
      <c r="M536" s="14"/>
      <c r="N536" s="14"/>
      <c r="O536" s="14"/>
    </row>
    <row r="537">
      <c r="D537" s="24"/>
      <c r="E537" s="24"/>
      <c r="F537" s="24"/>
      <c r="G537" s="24"/>
      <c r="I537" s="18"/>
      <c r="J537" s="19"/>
      <c r="M537" s="14"/>
      <c r="N537" s="14"/>
      <c r="O537" s="14"/>
    </row>
    <row r="538">
      <c r="D538" s="24"/>
      <c r="E538" s="24"/>
      <c r="F538" s="24"/>
      <c r="G538" s="24"/>
      <c r="I538" s="18"/>
      <c r="J538" s="19"/>
      <c r="M538" s="14"/>
      <c r="N538" s="14"/>
      <c r="O538" s="14"/>
    </row>
    <row r="539">
      <c r="D539" s="24"/>
      <c r="E539" s="24"/>
      <c r="F539" s="24"/>
      <c r="G539" s="24"/>
      <c r="I539" s="18"/>
      <c r="J539" s="19"/>
      <c r="M539" s="14"/>
      <c r="N539" s="14"/>
      <c r="O539" s="14"/>
    </row>
    <row r="540">
      <c r="D540" s="24"/>
      <c r="E540" s="24"/>
      <c r="F540" s="24"/>
      <c r="G540" s="24"/>
      <c r="I540" s="18"/>
      <c r="J540" s="19"/>
      <c r="M540" s="14"/>
      <c r="N540" s="14"/>
      <c r="O540" s="14"/>
    </row>
    <row r="541">
      <c r="D541" s="24"/>
      <c r="E541" s="24"/>
      <c r="F541" s="24"/>
      <c r="G541" s="24"/>
      <c r="I541" s="18"/>
      <c r="J541" s="19"/>
      <c r="M541" s="14"/>
      <c r="N541" s="14"/>
      <c r="O541" s="14"/>
    </row>
    <row r="542">
      <c r="D542" s="24"/>
      <c r="E542" s="24"/>
      <c r="F542" s="24"/>
      <c r="G542" s="24"/>
      <c r="I542" s="18"/>
      <c r="J542" s="19"/>
      <c r="M542" s="14"/>
      <c r="N542" s="14"/>
      <c r="O542" s="14"/>
    </row>
    <row r="543">
      <c r="D543" s="24"/>
      <c r="E543" s="24"/>
      <c r="F543" s="24"/>
      <c r="G543" s="24"/>
      <c r="I543" s="18"/>
      <c r="J543" s="19"/>
      <c r="M543" s="14"/>
      <c r="N543" s="14"/>
      <c r="O543" s="14"/>
    </row>
    <row r="544">
      <c r="D544" s="24"/>
      <c r="E544" s="24"/>
      <c r="F544" s="24"/>
      <c r="G544" s="24"/>
      <c r="I544" s="18"/>
      <c r="J544" s="19"/>
      <c r="M544" s="14"/>
      <c r="N544" s="14"/>
      <c r="O544" s="14"/>
    </row>
    <row r="545">
      <c r="D545" s="24"/>
      <c r="E545" s="24"/>
      <c r="F545" s="24"/>
      <c r="G545" s="24"/>
      <c r="I545" s="18"/>
      <c r="J545" s="19"/>
      <c r="M545" s="14"/>
      <c r="N545" s="14"/>
      <c r="O545" s="14"/>
    </row>
    <row r="546">
      <c r="D546" s="24"/>
      <c r="E546" s="24"/>
      <c r="F546" s="24"/>
      <c r="G546" s="24"/>
      <c r="I546" s="18"/>
      <c r="J546" s="19"/>
      <c r="M546" s="14"/>
      <c r="N546" s="14"/>
      <c r="O546" s="14"/>
    </row>
    <row r="547">
      <c r="D547" s="24"/>
      <c r="E547" s="24"/>
      <c r="F547" s="24"/>
      <c r="G547" s="24"/>
      <c r="I547" s="18"/>
      <c r="J547" s="19"/>
      <c r="M547" s="14"/>
      <c r="N547" s="14"/>
      <c r="O547" s="14"/>
    </row>
    <row r="548">
      <c r="D548" s="24"/>
      <c r="E548" s="24"/>
      <c r="F548" s="24"/>
      <c r="G548" s="24"/>
      <c r="I548" s="18"/>
      <c r="J548" s="19"/>
      <c r="M548" s="14"/>
      <c r="N548" s="14"/>
      <c r="O548" s="14"/>
    </row>
    <row r="549">
      <c r="D549" s="24"/>
      <c r="E549" s="24"/>
      <c r="F549" s="24"/>
      <c r="G549" s="24"/>
      <c r="I549" s="18"/>
      <c r="J549" s="19"/>
      <c r="M549" s="14"/>
      <c r="N549" s="14"/>
      <c r="O549" s="14"/>
    </row>
    <row r="550">
      <c r="D550" s="24"/>
      <c r="E550" s="24"/>
      <c r="F550" s="24"/>
      <c r="G550" s="24"/>
      <c r="I550" s="18"/>
      <c r="J550" s="19"/>
      <c r="M550" s="14"/>
      <c r="N550" s="14"/>
      <c r="O550" s="14"/>
    </row>
    <row r="551">
      <c r="D551" s="24"/>
      <c r="E551" s="24"/>
      <c r="F551" s="24"/>
      <c r="G551" s="24"/>
      <c r="I551" s="18"/>
      <c r="J551" s="19"/>
      <c r="M551" s="14"/>
      <c r="N551" s="14"/>
      <c r="O551" s="14"/>
    </row>
    <row r="552">
      <c r="D552" s="24"/>
      <c r="E552" s="24"/>
      <c r="F552" s="24"/>
      <c r="G552" s="24"/>
      <c r="I552" s="18"/>
      <c r="J552" s="19"/>
      <c r="M552" s="14"/>
      <c r="N552" s="14"/>
      <c r="O552" s="14"/>
    </row>
    <row r="553">
      <c r="D553" s="24"/>
      <c r="E553" s="24"/>
      <c r="F553" s="24"/>
      <c r="G553" s="24"/>
      <c r="I553" s="18"/>
      <c r="J553" s="19"/>
      <c r="M553" s="14"/>
      <c r="N553" s="14"/>
      <c r="O553" s="14"/>
    </row>
    <row r="554">
      <c r="D554" s="24"/>
      <c r="E554" s="24"/>
      <c r="F554" s="24"/>
      <c r="G554" s="24"/>
      <c r="I554" s="18"/>
      <c r="J554" s="19"/>
      <c r="M554" s="14"/>
      <c r="N554" s="14"/>
      <c r="O554" s="14"/>
    </row>
    <row r="555">
      <c r="D555" s="24"/>
      <c r="E555" s="24"/>
      <c r="F555" s="24"/>
      <c r="G555" s="24"/>
      <c r="I555" s="18"/>
      <c r="J555" s="19"/>
      <c r="M555" s="14"/>
      <c r="N555" s="14"/>
      <c r="O555" s="14"/>
    </row>
    <row r="556">
      <c r="D556" s="24"/>
      <c r="E556" s="24"/>
      <c r="F556" s="24"/>
      <c r="G556" s="24"/>
      <c r="I556" s="18"/>
      <c r="J556" s="19"/>
      <c r="M556" s="14"/>
      <c r="N556" s="14"/>
      <c r="O556" s="14"/>
    </row>
    <row r="557">
      <c r="D557" s="24"/>
      <c r="E557" s="24"/>
      <c r="F557" s="24"/>
      <c r="G557" s="24"/>
      <c r="I557" s="18"/>
      <c r="J557" s="19"/>
      <c r="M557" s="14"/>
      <c r="N557" s="14"/>
      <c r="O557" s="14"/>
    </row>
    <row r="558">
      <c r="D558" s="24"/>
      <c r="E558" s="24"/>
      <c r="F558" s="24"/>
      <c r="G558" s="24"/>
      <c r="I558" s="18"/>
      <c r="J558" s="19"/>
      <c r="M558" s="14"/>
      <c r="N558" s="14"/>
      <c r="O558" s="14"/>
    </row>
    <row r="559">
      <c r="D559" s="24"/>
      <c r="E559" s="24"/>
      <c r="F559" s="24"/>
      <c r="G559" s="24"/>
      <c r="I559" s="18"/>
      <c r="J559" s="19"/>
      <c r="M559" s="14"/>
      <c r="N559" s="14"/>
      <c r="O559" s="14"/>
    </row>
    <row r="560">
      <c r="D560" s="24"/>
      <c r="E560" s="24"/>
      <c r="F560" s="24"/>
      <c r="G560" s="24"/>
      <c r="I560" s="18"/>
      <c r="J560" s="19"/>
      <c r="M560" s="14"/>
      <c r="N560" s="14"/>
      <c r="O560" s="14"/>
    </row>
    <row r="561">
      <c r="D561" s="24"/>
      <c r="E561" s="24"/>
      <c r="F561" s="24"/>
      <c r="G561" s="24"/>
      <c r="I561" s="18"/>
      <c r="J561" s="19"/>
      <c r="M561" s="14"/>
      <c r="N561" s="14"/>
      <c r="O561" s="14"/>
    </row>
    <row r="562">
      <c r="D562" s="24"/>
      <c r="E562" s="24"/>
      <c r="F562" s="24"/>
      <c r="G562" s="24"/>
      <c r="I562" s="18"/>
      <c r="J562" s="19"/>
      <c r="M562" s="14"/>
      <c r="N562" s="14"/>
      <c r="O562" s="14"/>
    </row>
    <row r="563">
      <c r="D563" s="24"/>
      <c r="E563" s="24"/>
      <c r="F563" s="24"/>
      <c r="G563" s="24"/>
      <c r="I563" s="18"/>
      <c r="J563" s="19"/>
      <c r="M563" s="14"/>
      <c r="N563" s="14"/>
      <c r="O563" s="14"/>
    </row>
    <row r="564">
      <c r="D564" s="24"/>
      <c r="E564" s="24"/>
      <c r="F564" s="24"/>
      <c r="G564" s="24"/>
      <c r="I564" s="18"/>
      <c r="J564" s="19"/>
      <c r="M564" s="14"/>
      <c r="N564" s="14"/>
      <c r="O564" s="14"/>
    </row>
    <row r="565">
      <c r="D565" s="24"/>
      <c r="E565" s="24"/>
      <c r="F565" s="24"/>
      <c r="G565" s="24"/>
      <c r="I565" s="18"/>
      <c r="J565" s="19"/>
      <c r="M565" s="14"/>
      <c r="N565" s="14"/>
      <c r="O565" s="14"/>
    </row>
    <row r="566">
      <c r="D566" s="24"/>
      <c r="E566" s="24"/>
      <c r="F566" s="24"/>
      <c r="G566" s="24"/>
      <c r="I566" s="18"/>
      <c r="J566" s="19"/>
      <c r="M566" s="14"/>
      <c r="N566" s="14"/>
      <c r="O566" s="14"/>
    </row>
    <row r="567">
      <c r="D567" s="24"/>
      <c r="E567" s="24"/>
      <c r="F567" s="24"/>
      <c r="G567" s="24"/>
      <c r="I567" s="18"/>
      <c r="J567" s="19"/>
      <c r="M567" s="14"/>
      <c r="N567" s="14"/>
      <c r="O567" s="14"/>
    </row>
    <row r="568">
      <c r="D568" s="24"/>
      <c r="E568" s="24"/>
      <c r="F568" s="24"/>
      <c r="G568" s="24"/>
      <c r="I568" s="18"/>
      <c r="J568" s="19"/>
      <c r="M568" s="14"/>
      <c r="N568" s="14"/>
      <c r="O568" s="14"/>
    </row>
    <row r="569">
      <c r="D569" s="24"/>
      <c r="E569" s="24"/>
      <c r="F569" s="24"/>
      <c r="G569" s="24"/>
      <c r="I569" s="18"/>
      <c r="J569" s="19"/>
      <c r="M569" s="14"/>
      <c r="N569" s="14"/>
      <c r="O569" s="14"/>
    </row>
    <row r="570">
      <c r="D570" s="24"/>
      <c r="E570" s="24"/>
      <c r="F570" s="24"/>
      <c r="G570" s="24"/>
      <c r="I570" s="18"/>
      <c r="J570" s="19"/>
      <c r="M570" s="14"/>
      <c r="N570" s="14"/>
      <c r="O570" s="14"/>
    </row>
    <row r="571">
      <c r="D571" s="24"/>
      <c r="E571" s="24"/>
      <c r="F571" s="24"/>
      <c r="G571" s="24"/>
      <c r="I571" s="18"/>
      <c r="J571" s="19"/>
      <c r="M571" s="14"/>
      <c r="N571" s="14"/>
      <c r="O571" s="14"/>
    </row>
    <row r="572">
      <c r="D572" s="24"/>
      <c r="E572" s="24"/>
      <c r="F572" s="24"/>
      <c r="G572" s="24"/>
      <c r="I572" s="18"/>
      <c r="J572" s="19"/>
      <c r="M572" s="14"/>
      <c r="N572" s="14"/>
      <c r="O572" s="14"/>
    </row>
    <row r="573">
      <c r="D573" s="24"/>
      <c r="E573" s="24"/>
      <c r="F573" s="24"/>
      <c r="G573" s="24"/>
      <c r="I573" s="18"/>
      <c r="J573" s="19"/>
      <c r="M573" s="14"/>
      <c r="N573" s="14"/>
      <c r="O573" s="14"/>
    </row>
    <row r="574">
      <c r="D574" s="24"/>
      <c r="E574" s="24"/>
      <c r="F574" s="24"/>
      <c r="G574" s="24"/>
      <c r="I574" s="18"/>
      <c r="J574" s="19"/>
      <c r="M574" s="14"/>
      <c r="N574" s="14"/>
      <c r="O574" s="14"/>
    </row>
    <row r="575">
      <c r="D575" s="24"/>
      <c r="E575" s="24"/>
      <c r="F575" s="24"/>
      <c r="G575" s="24"/>
      <c r="I575" s="18"/>
      <c r="J575" s="19"/>
      <c r="M575" s="14"/>
      <c r="N575" s="14"/>
      <c r="O575" s="14"/>
    </row>
    <row r="576">
      <c r="D576" s="24"/>
      <c r="E576" s="24"/>
      <c r="F576" s="24"/>
      <c r="G576" s="24"/>
      <c r="I576" s="18"/>
      <c r="J576" s="19"/>
      <c r="M576" s="14"/>
      <c r="N576" s="14"/>
      <c r="O576" s="14"/>
    </row>
    <row r="577">
      <c r="D577" s="24"/>
      <c r="E577" s="24"/>
      <c r="F577" s="24"/>
      <c r="G577" s="24"/>
      <c r="I577" s="18"/>
      <c r="J577" s="19"/>
      <c r="M577" s="14"/>
      <c r="N577" s="14"/>
      <c r="O577" s="14"/>
    </row>
    <row r="578">
      <c r="D578" s="24"/>
      <c r="E578" s="24"/>
      <c r="F578" s="24"/>
      <c r="G578" s="24"/>
      <c r="I578" s="18"/>
      <c r="J578" s="19"/>
      <c r="M578" s="14"/>
      <c r="N578" s="14"/>
      <c r="O578" s="14"/>
    </row>
    <row r="579">
      <c r="D579" s="24"/>
      <c r="E579" s="24"/>
      <c r="F579" s="24"/>
      <c r="G579" s="24"/>
      <c r="I579" s="18"/>
      <c r="J579" s="19"/>
      <c r="M579" s="14"/>
      <c r="N579" s="14"/>
      <c r="O579" s="14"/>
    </row>
    <row r="580">
      <c r="D580" s="24"/>
      <c r="E580" s="24"/>
      <c r="F580" s="24"/>
      <c r="G580" s="24"/>
      <c r="I580" s="18"/>
      <c r="J580" s="19"/>
      <c r="M580" s="14"/>
      <c r="N580" s="14"/>
      <c r="O580" s="14"/>
    </row>
    <row r="581">
      <c r="D581" s="24"/>
      <c r="E581" s="24"/>
      <c r="F581" s="24"/>
      <c r="G581" s="24"/>
      <c r="I581" s="18"/>
      <c r="J581" s="19"/>
      <c r="M581" s="14"/>
      <c r="N581" s="14"/>
      <c r="O581" s="14"/>
    </row>
    <row r="582">
      <c r="D582" s="24"/>
      <c r="E582" s="24"/>
      <c r="F582" s="24"/>
      <c r="G582" s="24"/>
      <c r="I582" s="18"/>
      <c r="J582" s="19"/>
      <c r="M582" s="14"/>
      <c r="N582" s="14"/>
      <c r="O582" s="14"/>
    </row>
    <row r="583">
      <c r="D583" s="24"/>
      <c r="E583" s="24"/>
      <c r="F583" s="24"/>
      <c r="G583" s="24"/>
      <c r="I583" s="18"/>
      <c r="J583" s="19"/>
      <c r="M583" s="14"/>
      <c r="N583" s="14"/>
      <c r="O583" s="14"/>
    </row>
    <row r="584">
      <c r="D584" s="24"/>
      <c r="E584" s="24"/>
      <c r="F584" s="24"/>
      <c r="G584" s="24"/>
      <c r="I584" s="18"/>
      <c r="J584" s="19"/>
      <c r="M584" s="14"/>
      <c r="N584" s="14"/>
      <c r="O584" s="14"/>
    </row>
    <row r="585">
      <c r="D585" s="24"/>
      <c r="E585" s="24"/>
      <c r="F585" s="24"/>
      <c r="G585" s="24"/>
      <c r="I585" s="18"/>
      <c r="J585" s="19"/>
      <c r="M585" s="14"/>
      <c r="N585" s="14"/>
      <c r="O585" s="14"/>
    </row>
    <row r="586">
      <c r="D586" s="24"/>
      <c r="E586" s="24"/>
      <c r="F586" s="24"/>
      <c r="G586" s="24"/>
      <c r="I586" s="18"/>
      <c r="J586" s="19"/>
      <c r="M586" s="14"/>
      <c r="N586" s="14"/>
      <c r="O586" s="14"/>
    </row>
    <row r="587">
      <c r="D587" s="24"/>
      <c r="E587" s="24"/>
      <c r="F587" s="24"/>
      <c r="G587" s="24"/>
      <c r="I587" s="18"/>
      <c r="J587" s="19"/>
      <c r="M587" s="14"/>
      <c r="N587" s="14"/>
      <c r="O587" s="14"/>
    </row>
    <row r="588">
      <c r="D588" s="24"/>
      <c r="E588" s="24"/>
      <c r="F588" s="24"/>
      <c r="G588" s="24"/>
      <c r="I588" s="18"/>
      <c r="J588" s="19"/>
      <c r="M588" s="14"/>
      <c r="N588" s="14"/>
      <c r="O588" s="14"/>
    </row>
    <row r="589">
      <c r="D589" s="24"/>
      <c r="E589" s="24"/>
      <c r="F589" s="24"/>
      <c r="G589" s="24"/>
      <c r="I589" s="18"/>
      <c r="J589" s="19"/>
      <c r="M589" s="14"/>
      <c r="N589" s="14"/>
      <c r="O589" s="14"/>
    </row>
    <row r="590">
      <c r="D590" s="24"/>
      <c r="E590" s="24"/>
      <c r="F590" s="24"/>
      <c r="G590" s="24"/>
      <c r="I590" s="18"/>
      <c r="J590" s="19"/>
      <c r="M590" s="14"/>
      <c r="N590" s="14"/>
      <c r="O590" s="14"/>
    </row>
    <row r="591">
      <c r="D591" s="24"/>
      <c r="E591" s="24"/>
      <c r="F591" s="24"/>
      <c r="G591" s="24"/>
      <c r="I591" s="18"/>
      <c r="J591" s="19"/>
      <c r="M591" s="14"/>
      <c r="N591" s="14"/>
      <c r="O591" s="14"/>
    </row>
    <row r="592">
      <c r="D592" s="24"/>
      <c r="E592" s="24"/>
      <c r="F592" s="24"/>
      <c r="G592" s="24"/>
      <c r="I592" s="18"/>
      <c r="J592" s="19"/>
      <c r="M592" s="14"/>
      <c r="N592" s="14"/>
      <c r="O592" s="14"/>
    </row>
    <row r="593">
      <c r="D593" s="24"/>
      <c r="E593" s="24"/>
      <c r="F593" s="24"/>
      <c r="G593" s="24"/>
      <c r="I593" s="18"/>
      <c r="J593" s="19"/>
      <c r="M593" s="14"/>
      <c r="N593" s="14"/>
      <c r="O593" s="14"/>
    </row>
    <row r="594">
      <c r="D594" s="24"/>
      <c r="E594" s="24"/>
      <c r="F594" s="24"/>
      <c r="G594" s="24"/>
      <c r="I594" s="18"/>
      <c r="J594" s="19"/>
      <c r="M594" s="14"/>
      <c r="N594" s="14"/>
      <c r="O594" s="14"/>
    </row>
    <row r="595">
      <c r="D595" s="24"/>
      <c r="E595" s="24"/>
      <c r="F595" s="24"/>
      <c r="G595" s="24"/>
      <c r="I595" s="18"/>
      <c r="J595" s="19"/>
      <c r="M595" s="14"/>
      <c r="N595" s="14"/>
      <c r="O595" s="14"/>
    </row>
    <row r="596">
      <c r="D596" s="24"/>
      <c r="E596" s="24"/>
      <c r="F596" s="24"/>
      <c r="G596" s="24"/>
      <c r="I596" s="18"/>
      <c r="J596" s="19"/>
      <c r="M596" s="14"/>
      <c r="N596" s="14"/>
      <c r="O596" s="14"/>
    </row>
    <row r="597">
      <c r="D597" s="24"/>
      <c r="E597" s="24"/>
      <c r="F597" s="24"/>
      <c r="G597" s="24"/>
      <c r="I597" s="18"/>
      <c r="J597" s="19"/>
      <c r="M597" s="14"/>
      <c r="N597" s="14"/>
      <c r="O597" s="14"/>
    </row>
    <row r="598">
      <c r="D598" s="24"/>
      <c r="E598" s="24"/>
      <c r="F598" s="24"/>
      <c r="G598" s="24"/>
      <c r="I598" s="18"/>
      <c r="J598" s="19"/>
      <c r="M598" s="14"/>
      <c r="N598" s="14"/>
      <c r="O598" s="14"/>
    </row>
    <row r="599">
      <c r="D599" s="24"/>
      <c r="E599" s="24"/>
      <c r="F599" s="24"/>
      <c r="G599" s="24"/>
      <c r="I599" s="18"/>
      <c r="J599" s="19"/>
      <c r="M599" s="14"/>
      <c r="N599" s="14"/>
      <c r="O599" s="14"/>
    </row>
    <row r="600">
      <c r="D600" s="24"/>
      <c r="E600" s="24"/>
      <c r="F600" s="24"/>
      <c r="G600" s="24"/>
      <c r="I600" s="18"/>
      <c r="J600" s="19"/>
      <c r="M600" s="14"/>
      <c r="N600" s="14"/>
      <c r="O600" s="14"/>
    </row>
    <row r="601">
      <c r="D601" s="24"/>
      <c r="E601" s="24"/>
      <c r="F601" s="24"/>
      <c r="G601" s="24"/>
      <c r="I601" s="18"/>
      <c r="J601" s="19"/>
      <c r="M601" s="14"/>
      <c r="N601" s="14"/>
      <c r="O601" s="14"/>
    </row>
    <row r="602">
      <c r="D602" s="24"/>
      <c r="E602" s="24"/>
      <c r="F602" s="24"/>
      <c r="G602" s="24"/>
      <c r="I602" s="18"/>
      <c r="J602" s="19"/>
      <c r="M602" s="14"/>
      <c r="N602" s="14"/>
      <c r="O602" s="14"/>
    </row>
    <row r="603">
      <c r="D603" s="24"/>
      <c r="E603" s="24"/>
      <c r="F603" s="24"/>
      <c r="G603" s="24"/>
      <c r="I603" s="18"/>
      <c r="J603" s="19"/>
      <c r="M603" s="14"/>
      <c r="N603" s="14"/>
      <c r="O603" s="14"/>
    </row>
    <row r="604">
      <c r="D604" s="24"/>
      <c r="E604" s="24"/>
      <c r="F604" s="24"/>
      <c r="G604" s="24"/>
      <c r="I604" s="18"/>
      <c r="J604" s="19"/>
      <c r="M604" s="14"/>
      <c r="N604" s="14"/>
      <c r="O604" s="14"/>
    </row>
    <row r="605">
      <c r="D605" s="24"/>
      <c r="E605" s="24"/>
      <c r="F605" s="24"/>
      <c r="G605" s="24"/>
      <c r="I605" s="18"/>
      <c r="J605" s="19"/>
      <c r="M605" s="14"/>
      <c r="N605" s="14"/>
      <c r="O605" s="14"/>
    </row>
    <row r="606">
      <c r="D606" s="24"/>
      <c r="E606" s="24"/>
      <c r="F606" s="24"/>
      <c r="G606" s="24"/>
      <c r="I606" s="18"/>
      <c r="J606" s="19"/>
      <c r="M606" s="14"/>
      <c r="N606" s="14"/>
      <c r="O606" s="14"/>
    </row>
    <row r="607">
      <c r="D607" s="24"/>
      <c r="E607" s="24"/>
      <c r="F607" s="24"/>
      <c r="G607" s="24"/>
      <c r="I607" s="18"/>
      <c r="J607" s="19"/>
      <c r="M607" s="14"/>
      <c r="N607" s="14"/>
      <c r="O607" s="14"/>
    </row>
    <row r="608">
      <c r="D608" s="24"/>
      <c r="E608" s="24"/>
      <c r="F608" s="24"/>
      <c r="G608" s="24"/>
      <c r="I608" s="18"/>
      <c r="J608" s="19"/>
      <c r="M608" s="14"/>
      <c r="N608" s="14"/>
      <c r="O608" s="14"/>
    </row>
    <row r="609">
      <c r="D609" s="24"/>
      <c r="E609" s="24"/>
      <c r="F609" s="24"/>
      <c r="G609" s="24"/>
      <c r="I609" s="18"/>
      <c r="J609" s="19"/>
      <c r="M609" s="14"/>
      <c r="N609" s="14"/>
      <c r="O609" s="14"/>
    </row>
    <row r="610">
      <c r="D610" s="24"/>
      <c r="E610" s="24"/>
      <c r="F610" s="24"/>
      <c r="G610" s="24"/>
      <c r="I610" s="18"/>
      <c r="J610" s="19"/>
      <c r="M610" s="14"/>
      <c r="N610" s="14"/>
      <c r="O610" s="14"/>
    </row>
    <row r="611">
      <c r="D611" s="24"/>
      <c r="E611" s="24"/>
      <c r="F611" s="24"/>
      <c r="G611" s="24"/>
      <c r="I611" s="18"/>
      <c r="J611" s="19"/>
      <c r="M611" s="14"/>
      <c r="N611" s="14"/>
      <c r="O611" s="14"/>
    </row>
    <row r="612">
      <c r="D612" s="24"/>
      <c r="E612" s="24"/>
      <c r="F612" s="24"/>
      <c r="G612" s="24"/>
      <c r="I612" s="18"/>
      <c r="J612" s="19"/>
      <c r="M612" s="14"/>
      <c r="N612" s="14"/>
      <c r="O612" s="14"/>
    </row>
    <row r="613">
      <c r="D613" s="24"/>
      <c r="E613" s="24"/>
      <c r="F613" s="24"/>
      <c r="G613" s="24"/>
      <c r="I613" s="18"/>
      <c r="J613" s="19"/>
      <c r="M613" s="14"/>
      <c r="N613" s="14"/>
      <c r="O613" s="14"/>
    </row>
    <row r="614">
      <c r="D614" s="24"/>
      <c r="E614" s="24"/>
      <c r="F614" s="24"/>
      <c r="G614" s="24"/>
      <c r="I614" s="18"/>
      <c r="J614" s="19"/>
      <c r="M614" s="14"/>
      <c r="N614" s="14"/>
      <c r="O614" s="14"/>
    </row>
    <row r="615">
      <c r="D615" s="24"/>
      <c r="E615" s="24"/>
      <c r="F615" s="24"/>
      <c r="G615" s="24"/>
      <c r="I615" s="18"/>
      <c r="J615" s="19"/>
      <c r="M615" s="14"/>
      <c r="N615" s="14"/>
      <c r="O615" s="14"/>
    </row>
    <row r="616">
      <c r="D616" s="24"/>
      <c r="E616" s="24"/>
      <c r="F616" s="24"/>
      <c r="G616" s="24"/>
      <c r="I616" s="18"/>
      <c r="J616" s="19"/>
      <c r="M616" s="14"/>
      <c r="N616" s="14"/>
      <c r="O616" s="14"/>
    </row>
    <row r="617">
      <c r="D617" s="24"/>
      <c r="E617" s="24"/>
      <c r="F617" s="24"/>
      <c r="G617" s="24"/>
      <c r="I617" s="18"/>
      <c r="J617" s="19"/>
      <c r="M617" s="14"/>
      <c r="N617" s="14"/>
      <c r="O617" s="14"/>
    </row>
    <row r="618">
      <c r="D618" s="24"/>
      <c r="E618" s="24"/>
      <c r="F618" s="24"/>
      <c r="G618" s="24"/>
      <c r="I618" s="18"/>
      <c r="J618" s="19"/>
      <c r="M618" s="14"/>
      <c r="N618" s="14"/>
      <c r="O618" s="14"/>
    </row>
    <row r="619">
      <c r="D619" s="24"/>
      <c r="E619" s="24"/>
      <c r="F619" s="24"/>
      <c r="G619" s="24"/>
      <c r="I619" s="18"/>
      <c r="J619" s="19"/>
      <c r="M619" s="14"/>
      <c r="N619" s="14"/>
      <c r="O619" s="14"/>
    </row>
    <row r="620">
      <c r="D620" s="24"/>
      <c r="E620" s="24"/>
      <c r="F620" s="24"/>
      <c r="G620" s="24"/>
      <c r="I620" s="18"/>
      <c r="J620" s="19"/>
      <c r="M620" s="14"/>
      <c r="N620" s="14"/>
      <c r="O620" s="14"/>
    </row>
    <row r="621">
      <c r="D621" s="24"/>
      <c r="E621" s="24"/>
      <c r="F621" s="24"/>
      <c r="G621" s="24"/>
      <c r="I621" s="18"/>
      <c r="J621" s="19"/>
      <c r="M621" s="14"/>
      <c r="N621" s="14"/>
      <c r="O621" s="14"/>
    </row>
    <row r="622">
      <c r="D622" s="24"/>
      <c r="E622" s="24"/>
      <c r="F622" s="24"/>
      <c r="G622" s="24"/>
      <c r="I622" s="18"/>
      <c r="J622" s="19"/>
      <c r="M622" s="14"/>
      <c r="N622" s="14"/>
      <c r="O622" s="14"/>
    </row>
    <row r="623">
      <c r="D623" s="24"/>
      <c r="E623" s="24"/>
      <c r="F623" s="24"/>
      <c r="G623" s="24"/>
      <c r="I623" s="18"/>
      <c r="J623" s="19"/>
      <c r="M623" s="14"/>
      <c r="N623" s="14"/>
      <c r="O623" s="14"/>
    </row>
    <row r="624">
      <c r="D624" s="24"/>
      <c r="E624" s="24"/>
      <c r="F624" s="24"/>
      <c r="G624" s="24"/>
      <c r="I624" s="18"/>
      <c r="J624" s="19"/>
      <c r="M624" s="14"/>
      <c r="N624" s="14"/>
      <c r="O624" s="14"/>
    </row>
    <row r="625">
      <c r="D625" s="24"/>
      <c r="E625" s="24"/>
      <c r="F625" s="24"/>
      <c r="G625" s="24"/>
      <c r="I625" s="18"/>
      <c r="J625" s="19"/>
      <c r="M625" s="14"/>
      <c r="N625" s="14"/>
      <c r="O625" s="14"/>
    </row>
    <row r="626">
      <c r="D626" s="24"/>
      <c r="E626" s="24"/>
      <c r="F626" s="24"/>
      <c r="G626" s="24"/>
      <c r="I626" s="18"/>
      <c r="J626" s="19"/>
      <c r="M626" s="14"/>
      <c r="N626" s="14"/>
      <c r="O626" s="14"/>
    </row>
    <row r="627">
      <c r="D627" s="24"/>
      <c r="E627" s="24"/>
      <c r="F627" s="24"/>
      <c r="G627" s="24"/>
      <c r="I627" s="18"/>
      <c r="J627" s="19"/>
      <c r="M627" s="14"/>
      <c r="N627" s="14"/>
      <c r="O627" s="14"/>
    </row>
    <row r="628">
      <c r="D628" s="24"/>
      <c r="E628" s="24"/>
      <c r="F628" s="24"/>
      <c r="G628" s="24"/>
      <c r="I628" s="18"/>
      <c r="J628" s="19"/>
      <c r="M628" s="14"/>
      <c r="N628" s="14"/>
      <c r="O628" s="14"/>
    </row>
    <row r="629">
      <c r="D629" s="24"/>
      <c r="E629" s="24"/>
      <c r="F629" s="24"/>
      <c r="G629" s="24"/>
      <c r="I629" s="18"/>
      <c r="J629" s="19"/>
      <c r="M629" s="14"/>
      <c r="N629" s="14"/>
      <c r="O629" s="14"/>
    </row>
    <row r="630">
      <c r="D630" s="24"/>
      <c r="E630" s="24"/>
      <c r="F630" s="24"/>
      <c r="G630" s="24"/>
      <c r="I630" s="18"/>
      <c r="J630" s="19"/>
      <c r="M630" s="14"/>
      <c r="N630" s="14"/>
      <c r="O630" s="14"/>
    </row>
    <row r="631">
      <c r="D631" s="24"/>
      <c r="E631" s="24"/>
      <c r="F631" s="24"/>
      <c r="G631" s="24"/>
      <c r="I631" s="18"/>
      <c r="J631" s="19"/>
      <c r="M631" s="14"/>
      <c r="N631" s="14"/>
      <c r="O631" s="14"/>
    </row>
    <row r="632">
      <c r="D632" s="24"/>
      <c r="E632" s="24"/>
      <c r="F632" s="24"/>
      <c r="G632" s="24"/>
      <c r="I632" s="18"/>
      <c r="J632" s="19"/>
      <c r="M632" s="14"/>
      <c r="N632" s="14"/>
      <c r="O632" s="14"/>
    </row>
    <row r="633">
      <c r="D633" s="24"/>
      <c r="E633" s="24"/>
      <c r="F633" s="24"/>
      <c r="G633" s="24"/>
      <c r="I633" s="18"/>
      <c r="J633" s="19"/>
      <c r="M633" s="14"/>
      <c r="N633" s="14"/>
      <c r="O633" s="14"/>
    </row>
    <row r="634">
      <c r="D634" s="24"/>
      <c r="E634" s="24"/>
      <c r="F634" s="24"/>
      <c r="G634" s="24"/>
      <c r="I634" s="18"/>
      <c r="J634" s="19"/>
      <c r="M634" s="14"/>
      <c r="N634" s="14"/>
      <c r="O634" s="14"/>
    </row>
    <row r="635">
      <c r="D635" s="24"/>
      <c r="E635" s="24"/>
      <c r="F635" s="24"/>
      <c r="G635" s="24"/>
      <c r="I635" s="18"/>
      <c r="J635" s="19"/>
      <c r="M635" s="14"/>
      <c r="N635" s="14"/>
      <c r="O635" s="14"/>
    </row>
    <row r="636">
      <c r="D636" s="24"/>
      <c r="E636" s="24"/>
      <c r="F636" s="24"/>
      <c r="G636" s="24"/>
      <c r="I636" s="18"/>
      <c r="J636" s="19"/>
      <c r="M636" s="14"/>
      <c r="N636" s="14"/>
      <c r="O636" s="14"/>
    </row>
    <row r="637">
      <c r="D637" s="24"/>
      <c r="E637" s="24"/>
      <c r="F637" s="24"/>
      <c r="G637" s="24"/>
      <c r="I637" s="18"/>
      <c r="J637" s="19"/>
      <c r="M637" s="14"/>
      <c r="N637" s="14"/>
      <c r="O637" s="14"/>
    </row>
    <row r="638">
      <c r="D638" s="24"/>
      <c r="E638" s="24"/>
      <c r="F638" s="24"/>
      <c r="G638" s="24"/>
      <c r="I638" s="18"/>
      <c r="J638" s="19"/>
      <c r="M638" s="14"/>
      <c r="N638" s="14"/>
      <c r="O638" s="14"/>
    </row>
    <row r="639">
      <c r="D639" s="24"/>
      <c r="E639" s="24"/>
      <c r="F639" s="24"/>
      <c r="G639" s="24"/>
      <c r="I639" s="18"/>
      <c r="J639" s="19"/>
      <c r="M639" s="14"/>
      <c r="N639" s="14"/>
      <c r="O639" s="14"/>
    </row>
    <row r="640">
      <c r="D640" s="24"/>
      <c r="E640" s="24"/>
      <c r="F640" s="24"/>
      <c r="G640" s="24"/>
      <c r="I640" s="18"/>
      <c r="J640" s="19"/>
      <c r="M640" s="14"/>
      <c r="N640" s="14"/>
      <c r="O640" s="14"/>
    </row>
    <row r="641">
      <c r="D641" s="24"/>
      <c r="E641" s="24"/>
      <c r="F641" s="24"/>
      <c r="G641" s="24"/>
      <c r="I641" s="18"/>
      <c r="J641" s="19"/>
      <c r="M641" s="14"/>
      <c r="N641" s="14"/>
      <c r="O641" s="14"/>
    </row>
    <row r="642">
      <c r="D642" s="24"/>
      <c r="E642" s="24"/>
      <c r="F642" s="24"/>
      <c r="G642" s="24"/>
      <c r="I642" s="18"/>
      <c r="J642" s="19"/>
      <c r="M642" s="14"/>
      <c r="N642" s="14"/>
      <c r="O642" s="14"/>
    </row>
    <row r="643">
      <c r="D643" s="24"/>
      <c r="E643" s="24"/>
      <c r="F643" s="24"/>
      <c r="G643" s="24"/>
      <c r="I643" s="18"/>
      <c r="J643" s="19"/>
      <c r="M643" s="14"/>
      <c r="N643" s="14"/>
      <c r="O643" s="14"/>
    </row>
    <row r="644">
      <c r="D644" s="24"/>
      <c r="E644" s="24"/>
      <c r="F644" s="24"/>
      <c r="G644" s="24"/>
      <c r="I644" s="18"/>
      <c r="J644" s="19"/>
      <c r="M644" s="14"/>
      <c r="N644" s="14"/>
      <c r="O644" s="14"/>
    </row>
    <row r="645">
      <c r="D645" s="24"/>
      <c r="E645" s="24"/>
      <c r="F645" s="24"/>
      <c r="G645" s="24"/>
      <c r="I645" s="18"/>
      <c r="J645" s="19"/>
      <c r="M645" s="14"/>
      <c r="N645" s="14"/>
      <c r="O645" s="14"/>
    </row>
    <row r="646">
      <c r="D646" s="24"/>
      <c r="E646" s="24"/>
      <c r="F646" s="24"/>
      <c r="G646" s="24"/>
      <c r="I646" s="18"/>
      <c r="J646" s="19"/>
      <c r="M646" s="14"/>
      <c r="N646" s="14"/>
      <c r="O646" s="14"/>
    </row>
    <row r="647">
      <c r="D647" s="24"/>
      <c r="E647" s="24"/>
      <c r="F647" s="24"/>
      <c r="G647" s="24"/>
      <c r="I647" s="18"/>
      <c r="J647" s="19"/>
      <c r="M647" s="14"/>
      <c r="N647" s="14"/>
      <c r="O647" s="14"/>
    </row>
    <row r="648">
      <c r="D648" s="24"/>
      <c r="E648" s="24"/>
      <c r="F648" s="24"/>
      <c r="G648" s="24"/>
      <c r="I648" s="18"/>
      <c r="J648" s="19"/>
      <c r="M648" s="14"/>
      <c r="N648" s="14"/>
      <c r="O648" s="14"/>
    </row>
    <row r="649">
      <c r="D649" s="24"/>
      <c r="E649" s="24"/>
      <c r="F649" s="24"/>
      <c r="G649" s="24"/>
      <c r="I649" s="18"/>
      <c r="J649" s="19"/>
      <c r="M649" s="14"/>
      <c r="N649" s="14"/>
      <c r="O649" s="14"/>
    </row>
    <row r="650">
      <c r="D650" s="24"/>
      <c r="E650" s="24"/>
      <c r="F650" s="24"/>
      <c r="G650" s="24"/>
      <c r="I650" s="18"/>
      <c r="J650" s="19"/>
      <c r="M650" s="14"/>
      <c r="N650" s="14"/>
      <c r="O650" s="14"/>
    </row>
    <row r="651">
      <c r="D651" s="24"/>
      <c r="E651" s="24"/>
      <c r="F651" s="24"/>
      <c r="G651" s="24"/>
      <c r="I651" s="18"/>
      <c r="J651" s="19"/>
      <c r="M651" s="14"/>
      <c r="N651" s="14"/>
      <c r="O651" s="14"/>
    </row>
    <row r="652">
      <c r="D652" s="24"/>
      <c r="E652" s="24"/>
      <c r="F652" s="24"/>
      <c r="G652" s="24"/>
      <c r="I652" s="18"/>
      <c r="J652" s="19"/>
      <c r="M652" s="14"/>
      <c r="N652" s="14"/>
      <c r="O652" s="14"/>
    </row>
    <row r="653">
      <c r="D653" s="24"/>
      <c r="E653" s="24"/>
      <c r="F653" s="24"/>
      <c r="G653" s="24"/>
      <c r="I653" s="18"/>
      <c r="J653" s="19"/>
      <c r="M653" s="14"/>
      <c r="N653" s="14"/>
      <c r="O653" s="14"/>
    </row>
    <row r="654">
      <c r="D654" s="24"/>
      <c r="E654" s="24"/>
      <c r="F654" s="24"/>
      <c r="G654" s="24"/>
      <c r="I654" s="18"/>
      <c r="J654" s="19"/>
      <c r="M654" s="14"/>
      <c r="N654" s="14"/>
      <c r="O654" s="14"/>
    </row>
    <row r="655">
      <c r="D655" s="24"/>
      <c r="E655" s="24"/>
      <c r="F655" s="24"/>
      <c r="G655" s="24"/>
      <c r="I655" s="18"/>
      <c r="J655" s="19"/>
      <c r="M655" s="14"/>
      <c r="N655" s="14"/>
      <c r="O655" s="14"/>
    </row>
    <row r="656">
      <c r="D656" s="24"/>
      <c r="E656" s="24"/>
      <c r="F656" s="24"/>
      <c r="G656" s="24"/>
      <c r="I656" s="18"/>
      <c r="J656" s="19"/>
      <c r="M656" s="14"/>
      <c r="N656" s="14"/>
      <c r="O656" s="14"/>
    </row>
    <row r="657">
      <c r="D657" s="24"/>
      <c r="E657" s="24"/>
      <c r="F657" s="24"/>
      <c r="G657" s="24"/>
      <c r="I657" s="18"/>
      <c r="J657" s="19"/>
      <c r="M657" s="14"/>
      <c r="N657" s="14"/>
      <c r="O657" s="14"/>
    </row>
    <row r="658">
      <c r="D658" s="24"/>
      <c r="E658" s="24"/>
      <c r="F658" s="24"/>
      <c r="G658" s="24"/>
      <c r="I658" s="18"/>
      <c r="J658" s="19"/>
      <c r="M658" s="14"/>
      <c r="N658" s="14"/>
      <c r="O658" s="14"/>
    </row>
    <row r="659">
      <c r="D659" s="24"/>
      <c r="E659" s="24"/>
      <c r="F659" s="24"/>
      <c r="G659" s="24"/>
      <c r="I659" s="18"/>
      <c r="J659" s="19"/>
      <c r="M659" s="14"/>
      <c r="N659" s="14"/>
      <c r="O659" s="14"/>
    </row>
    <row r="660">
      <c r="D660" s="24"/>
      <c r="E660" s="24"/>
      <c r="F660" s="24"/>
      <c r="G660" s="24"/>
      <c r="I660" s="18"/>
      <c r="J660" s="19"/>
      <c r="M660" s="14"/>
      <c r="N660" s="14"/>
      <c r="O660" s="14"/>
    </row>
    <row r="661">
      <c r="D661" s="24"/>
      <c r="E661" s="24"/>
      <c r="F661" s="24"/>
      <c r="G661" s="24"/>
      <c r="I661" s="18"/>
      <c r="J661" s="19"/>
      <c r="M661" s="14"/>
      <c r="N661" s="14"/>
      <c r="O661" s="14"/>
    </row>
    <row r="662">
      <c r="D662" s="24"/>
      <c r="E662" s="24"/>
      <c r="F662" s="24"/>
      <c r="G662" s="24"/>
      <c r="I662" s="18"/>
      <c r="J662" s="19"/>
      <c r="M662" s="14"/>
      <c r="N662" s="14"/>
      <c r="O662" s="14"/>
    </row>
    <row r="663">
      <c r="D663" s="24"/>
      <c r="E663" s="24"/>
      <c r="F663" s="24"/>
      <c r="G663" s="24"/>
      <c r="I663" s="18"/>
      <c r="J663" s="19"/>
      <c r="M663" s="14"/>
      <c r="N663" s="14"/>
      <c r="O663" s="14"/>
    </row>
    <row r="664">
      <c r="D664" s="24"/>
      <c r="E664" s="24"/>
      <c r="F664" s="24"/>
      <c r="G664" s="24"/>
      <c r="I664" s="18"/>
      <c r="J664" s="19"/>
      <c r="M664" s="14"/>
      <c r="N664" s="14"/>
      <c r="O664" s="14"/>
    </row>
    <row r="665">
      <c r="D665" s="24"/>
      <c r="E665" s="24"/>
      <c r="F665" s="24"/>
      <c r="G665" s="24"/>
      <c r="I665" s="18"/>
      <c r="J665" s="19"/>
      <c r="M665" s="14"/>
      <c r="N665" s="14"/>
      <c r="O665" s="14"/>
    </row>
    <row r="666">
      <c r="D666" s="24"/>
      <c r="E666" s="24"/>
      <c r="F666" s="24"/>
      <c r="G666" s="24"/>
      <c r="I666" s="18"/>
      <c r="J666" s="19"/>
      <c r="M666" s="14"/>
      <c r="N666" s="14"/>
      <c r="O666" s="14"/>
    </row>
    <row r="667">
      <c r="D667" s="24"/>
      <c r="E667" s="24"/>
      <c r="F667" s="24"/>
      <c r="G667" s="24"/>
      <c r="I667" s="18"/>
      <c r="J667" s="19"/>
      <c r="M667" s="14"/>
      <c r="N667" s="14"/>
      <c r="O667" s="14"/>
    </row>
    <row r="668">
      <c r="D668" s="24"/>
      <c r="E668" s="24"/>
      <c r="F668" s="24"/>
      <c r="G668" s="24"/>
      <c r="I668" s="18"/>
      <c r="J668" s="19"/>
      <c r="M668" s="14"/>
      <c r="N668" s="14"/>
      <c r="O668" s="14"/>
    </row>
    <row r="669">
      <c r="D669" s="24"/>
      <c r="E669" s="24"/>
      <c r="F669" s="24"/>
      <c r="G669" s="24"/>
      <c r="I669" s="18"/>
      <c r="J669" s="19"/>
      <c r="M669" s="14"/>
      <c r="N669" s="14"/>
      <c r="O669" s="14"/>
    </row>
    <row r="670">
      <c r="D670" s="24"/>
      <c r="E670" s="24"/>
      <c r="F670" s="24"/>
      <c r="G670" s="24"/>
      <c r="I670" s="18"/>
      <c r="J670" s="19"/>
      <c r="M670" s="14"/>
      <c r="N670" s="14"/>
      <c r="O670" s="14"/>
    </row>
    <row r="671">
      <c r="D671" s="24"/>
      <c r="E671" s="24"/>
      <c r="F671" s="24"/>
      <c r="G671" s="24"/>
      <c r="I671" s="18"/>
      <c r="J671" s="19"/>
      <c r="M671" s="14"/>
      <c r="N671" s="14"/>
      <c r="O671" s="14"/>
    </row>
    <row r="672">
      <c r="D672" s="24"/>
      <c r="E672" s="24"/>
      <c r="F672" s="24"/>
      <c r="G672" s="24"/>
      <c r="I672" s="18"/>
      <c r="J672" s="19"/>
      <c r="M672" s="14"/>
      <c r="N672" s="14"/>
      <c r="O672" s="14"/>
    </row>
    <row r="673">
      <c r="D673" s="24"/>
      <c r="E673" s="24"/>
      <c r="F673" s="24"/>
      <c r="G673" s="24"/>
      <c r="I673" s="18"/>
      <c r="J673" s="19"/>
      <c r="M673" s="14"/>
      <c r="N673" s="14"/>
      <c r="O673" s="14"/>
    </row>
    <row r="674">
      <c r="D674" s="24"/>
      <c r="E674" s="24"/>
      <c r="F674" s="24"/>
      <c r="G674" s="24"/>
      <c r="I674" s="18"/>
      <c r="J674" s="19"/>
      <c r="M674" s="14"/>
      <c r="N674" s="14"/>
      <c r="O674" s="14"/>
    </row>
    <row r="675">
      <c r="D675" s="24"/>
      <c r="E675" s="24"/>
      <c r="F675" s="24"/>
      <c r="G675" s="24"/>
      <c r="I675" s="18"/>
      <c r="J675" s="19"/>
      <c r="M675" s="14"/>
      <c r="N675" s="14"/>
      <c r="O675" s="14"/>
    </row>
    <row r="676">
      <c r="D676" s="24"/>
      <c r="E676" s="24"/>
      <c r="F676" s="24"/>
      <c r="G676" s="24"/>
      <c r="I676" s="18"/>
      <c r="J676" s="19"/>
      <c r="M676" s="14"/>
      <c r="N676" s="14"/>
      <c r="O676" s="14"/>
    </row>
    <row r="677">
      <c r="D677" s="24"/>
      <c r="E677" s="24"/>
      <c r="F677" s="24"/>
      <c r="G677" s="24"/>
      <c r="I677" s="18"/>
      <c r="J677" s="19"/>
      <c r="M677" s="14"/>
      <c r="N677" s="14"/>
      <c r="O677" s="14"/>
    </row>
    <row r="678">
      <c r="D678" s="24"/>
      <c r="E678" s="24"/>
      <c r="F678" s="24"/>
      <c r="G678" s="24"/>
      <c r="I678" s="18"/>
      <c r="J678" s="19"/>
      <c r="M678" s="14"/>
      <c r="N678" s="14"/>
      <c r="O678" s="14"/>
    </row>
    <row r="679">
      <c r="D679" s="24"/>
      <c r="E679" s="24"/>
      <c r="F679" s="24"/>
      <c r="G679" s="24"/>
      <c r="I679" s="18"/>
      <c r="J679" s="19"/>
      <c r="M679" s="14"/>
      <c r="N679" s="14"/>
      <c r="O679" s="14"/>
    </row>
    <row r="680">
      <c r="D680" s="24"/>
      <c r="E680" s="24"/>
      <c r="F680" s="24"/>
      <c r="G680" s="24"/>
      <c r="I680" s="18"/>
      <c r="J680" s="19"/>
      <c r="M680" s="14"/>
      <c r="N680" s="14"/>
      <c r="O680" s="14"/>
    </row>
    <row r="681">
      <c r="D681" s="24"/>
      <c r="E681" s="24"/>
      <c r="F681" s="24"/>
      <c r="G681" s="24"/>
      <c r="I681" s="18"/>
      <c r="J681" s="19"/>
      <c r="M681" s="14"/>
      <c r="N681" s="14"/>
      <c r="O681" s="14"/>
    </row>
    <row r="682">
      <c r="D682" s="24"/>
      <c r="E682" s="24"/>
      <c r="F682" s="24"/>
      <c r="G682" s="24"/>
      <c r="I682" s="18"/>
      <c r="J682" s="19"/>
      <c r="M682" s="14"/>
      <c r="N682" s="14"/>
      <c r="O682" s="14"/>
    </row>
    <row r="683">
      <c r="D683" s="24"/>
      <c r="E683" s="24"/>
      <c r="F683" s="24"/>
      <c r="G683" s="24"/>
      <c r="I683" s="18"/>
      <c r="J683" s="19"/>
      <c r="M683" s="14"/>
      <c r="N683" s="14"/>
      <c r="O683" s="14"/>
    </row>
    <row r="684">
      <c r="D684" s="24"/>
      <c r="E684" s="24"/>
      <c r="F684" s="24"/>
      <c r="G684" s="24"/>
      <c r="I684" s="18"/>
      <c r="J684" s="19"/>
      <c r="M684" s="14"/>
      <c r="N684" s="14"/>
      <c r="O684" s="14"/>
    </row>
    <row r="685">
      <c r="D685" s="24"/>
      <c r="E685" s="24"/>
      <c r="F685" s="24"/>
      <c r="G685" s="24"/>
      <c r="I685" s="18"/>
      <c r="J685" s="19"/>
      <c r="M685" s="14"/>
      <c r="N685" s="14"/>
      <c r="O685" s="14"/>
    </row>
    <row r="686">
      <c r="D686" s="24"/>
      <c r="E686" s="24"/>
      <c r="F686" s="24"/>
      <c r="G686" s="24"/>
      <c r="I686" s="18"/>
      <c r="J686" s="19"/>
      <c r="M686" s="14"/>
      <c r="N686" s="14"/>
      <c r="O686" s="14"/>
    </row>
    <row r="687">
      <c r="D687" s="24"/>
      <c r="E687" s="24"/>
      <c r="F687" s="24"/>
      <c r="G687" s="24"/>
      <c r="I687" s="18"/>
      <c r="J687" s="19"/>
      <c r="M687" s="14"/>
      <c r="N687" s="14"/>
      <c r="O687" s="14"/>
    </row>
    <row r="688">
      <c r="D688" s="24"/>
      <c r="E688" s="24"/>
      <c r="F688" s="24"/>
      <c r="G688" s="24"/>
      <c r="I688" s="18"/>
      <c r="J688" s="19"/>
      <c r="M688" s="14"/>
      <c r="N688" s="14"/>
      <c r="O688" s="14"/>
    </row>
    <row r="689">
      <c r="D689" s="24"/>
      <c r="E689" s="24"/>
      <c r="F689" s="24"/>
      <c r="G689" s="24"/>
      <c r="I689" s="18"/>
      <c r="J689" s="19"/>
      <c r="M689" s="14"/>
      <c r="N689" s="14"/>
      <c r="O689" s="14"/>
    </row>
    <row r="690">
      <c r="D690" s="24"/>
      <c r="E690" s="24"/>
      <c r="F690" s="24"/>
      <c r="G690" s="24"/>
      <c r="I690" s="18"/>
      <c r="J690" s="19"/>
      <c r="M690" s="14"/>
      <c r="N690" s="14"/>
      <c r="O690" s="14"/>
    </row>
    <row r="691">
      <c r="D691" s="24"/>
      <c r="E691" s="24"/>
      <c r="F691" s="24"/>
      <c r="G691" s="24"/>
      <c r="I691" s="18"/>
      <c r="J691" s="19"/>
      <c r="M691" s="14"/>
      <c r="N691" s="14"/>
      <c r="O691" s="14"/>
    </row>
    <row r="692">
      <c r="D692" s="24"/>
      <c r="E692" s="24"/>
      <c r="F692" s="24"/>
      <c r="G692" s="24"/>
      <c r="I692" s="18"/>
      <c r="J692" s="19"/>
      <c r="M692" s="14"/>
      <c r="N692" s="14"/>
      <c r="O692" s="14"/>
    </row>
    <row r="693">
      <c r="D693" s="24"/>
      <c r="E693" s="24"/>
      <c r="F693" s="24"/>
      <c r="G693" s="24"/>
      <c r="I693" s="18"/>
      <c r="J693" s="19"/>
      <c r="M693" s="14"/>
      <c r="N693" s="14"/>
      <c r="O693" s="14"/>
    </row>
    <row r="694">
      <c r="D694" s="24"/>
      <c r="E694" s="24"/>
      <c r="F694" s="24"/>
      <c r="G694" s="24"/>
      <c r="I694" s="18"/>
      <c r="J694" s="19"/>
      <c r="M694" s="14"/>
      <c r="N694" s="14"/>
      <c r="O694" s="14"/>
    </row>
    <row r="695">
      <c r="D695" s="24"/>
      <c r="E695" s="24"/>
      <c r="F695" s="24"/>
      <c r="G695" s="24"/>
      <c r="I695" s="18"/>
      <c r="J695" s="19"/>
      <c r="M695" s="14"/>
      <c r="N695" s="14"/>
      <c r="O695" s="14"/>
    </row>
    <row r="696">
      <c r="D696" s="24"/>
      <c r="E696" s="24"/>
      <c r="F696" s="24"/>
      <c r="G696" s="24"/>
      <c r="I696" s="18"/>
      <c r="J696" s="19"/>
      <c r="M696" s="14"/>
      <c r="N696" s="14"/>
      <c r="O696" s="14"/>
    </row>
    <row r="697">
      <c r="D697" s="24"/>
      <c r="E697" s="24"/>
      <c r="F697" s="24"/>
      <c r="G697" s="24"/>
      <c r="I697" s="18"/>
      <c r="J697" s="19"/>
      <c r="M697" s="14"/>
      <c r="N697" s="14"/>
      <c r="O697" s="14"/>
    </row>
    <row r="698">
      <c r="D698" s="24"/>
      <c r="E698" s="24"/>
      <c r="F698" s="24"/>
      <c r="G698" s="24"/>
      <c r="I698" s="18"/>
      <c r="J698" s="19"/>
      <c r="M698" s="14"/>
      <c r="N698" s="14"/>
      <c r="O698" s="14"/>
    </row>
    <row r="699">
      <c r="D699" s="24"/>
      <c r="E699" s="24"/>
      <c r="F699" s="24"/>
      <c r="G699" s="24"/>
      <c r="I699" s="18"/>
      <c r="J699" s="19"/>
      <c r="M699" s="14"/>
      <c r="N699" s="14"/>
      <c r="O699" s="14"/>
    </row>
    <row r="700">
      <c r="D700" s="24"/>
      <c r="E700" s="24"/>
      <c r="F700" s="24"/>
      <c r="G700" s="24"/>
      <c r="I700" s="18"/>
      <c r="J700" s="19"/>
      <c r="M700" s="14"/>
      <c r="N700" s="14"/>
      <c r="O700" s="14"/>
    </row>
    <row r="701">
      <c r="D701" s="24"/>
      <c r="E701" s="24"/>
      <c r="F701" s="24"/>
      <c r="G701" s="24"/>
      <c r="I701" s="18"/>
      <c r="J701" s="19"/>
      <c r="M701" s="14"/>
      <c r="N701" s="14"/>
      <c r="O701" s="14"/>
    </row>
    <row r="702">
      <c r="D702" s="24"/>
      <c r="E702" s="24"/>
      <c r="F702" s="24"/>
      <c r="G702" s="24"/>
      <c r="I702" s="18"/>
      <c r="J702" s="19"/>
      <c r="M702" s="14"/>
      <c r="N702" s="14"/>
      <c r="O702" s="14"/>
    </row>
    <row r="703">
      <c r="D703" s="24"/>
      <c r="E703" s="24"/>
      <c r="F703" s="24"/>
      <c r="G703" s="24"/>
      <c r="I703" s="18"/>
      <c r="J703" s="19"/>
      <c r="M703" s="14"/>
      <c r="N703" s="14"/>
      <c r="O703" s="14"/>
    </row>
    <row r="704">
      <c r="D704" s="24"/>
      <c r="E704" s="24"/>
      <c r="F704" s="24"/>
      <c r="G704" s="24"/>
      <c r="I704" s="18"/>
      <c r="J704" s="19"/>
      <c r="M704" s="14"/>
      <c r="N704" s="14"/>
      <c r="O704" s="14"/>
    </row>
    <row r="705">
      <c r="D705" s="24"/>
      <c r="E705" s="24"/>
      <c r="F705" s="24"/>
      <c r="G705" s="24"/>
      <c r="I705" s="18"/>
      <c r="J705" s="19"/>
      <c r="M705" s="14"/>
      <c r="N705" s="14"/>
      <c r="O705" s="14"/>
    </row>
    <row r="706">
      <c r="D706" s="24"/>
      <c r="E706" s="24"/>
      <c r="F706" s="24"/>
      <c r="G706" s="24"/>
      <c r="I706" s="18"/>
      <c r="J706" s="19"/>
      <c r="M706" s="14"/>
      <c r="N706" s="14"/>
      <c r="O706" s="14"/>
    </row>
    <row r="707">
      <c r="D707" s="24"/>
      <c r="E707" s="24"/>
      <c r="F707" s="24"/>
      <c r="G707" s="24"/>
      <c r="I707" s="18"/>
      <c r="J707" s="19"/>
      <c r="M707" s="14"/>
      <c r="N707" s="14"/>
      <c r="O707" s="14"/>
    </row>
    <row r="708">
      <c r="D708" s="24"/>
      <c r="E708" s="24"/>
      <c r="F708" s="24"/>
      <c r="G708" s="24"/>
      <c r="I708" s="18"/>
      <c r="J708" s="19"/>
      <c r="M708" s="14"/>
      <c r="N708" s="14"/>
      <c r="O708" s="14"/>
    </row>
    <row r="709">
      <c r="D709" s="24"/>
      <c r="E709" s="24"/>
      <c r="F709" s="24"/>
      <c r="G709" s="24"/>
      <c r="I709" s="18"/>
      <c r="J709" s="19"/>
      <c r="M709" s="14"/>
      <c r="N709" s="14"/>
      <c r="O709" s="14"/>
    </row>
    <row r="710">
      <c r="D710" s="24"/>
      <c r="E710" s="24"/>
      <c r="F710" s="24"/>
      <c r="G710" s="24"/>
      <c r="I710" s="18"/>
      <c r="J710" s="19"/>
      <c r="M710" s="14"/>
      <c r="N710" s="14"/>
      <c r="O710" s="14"/>
    </row>
    <row r="711">
      <c r="D711" s="24"/>
      <c r="E711" s="24"/>
      <c r="F711" s="24"/>
      <c r="G711" s="24"/>
      <c r="I711" s="18"/>
      <c r="J711" s="19"/>
      <c r="M711" s="14"/>
      <c r="N711" s="14"/>
      <c r="O711" s="14"/>
    </row>
    <row r="712">
      <c r="D712" s="24"/>
      <c r="E712" s="24"/>
      <c r="F712" s="24"/>
      <c r="G712" s="24"/>
      <c r="I712" s="18"/>
      <c r="J712" s="19"/>
      <c r="M712" s="14"/>
      <c r="N712" s="14"/>
      <c r="O712" s="14"/>
    </row>
    <row r="713">
      <c r="D713" s="24"/>
      <c r="E713" s="24"/>
      <c r="F713" s="24"/>
      <c r="G713" s="24"/>
      <c r="I713" s="18"/>
      <c r="J713" s="19"/>
      <c r="M713" s="14"/>
      <c r="N713" s="14"/>
      <c r="O713" s="14"/>
    </row>
    <row r="714">
      <c r="D714" s="24"/>
      <c r="E714" s="24"/>
      <c r="F714" s="24"/>
      <c r="G714" s="24"/>
      <c r="I714" s="18"/>
      <c r="J714" s="19"/>
      <c r="M714" s="14"/>
      <c r="N714" s="14"/>
      <c r="O714" s="14"/>
    </row>
    <row r="715">
      <c r="D715" s="24"/>
      <c r="E715" s="24"/>
      <c r="F715" s="24"/>
      <c r="G715" s="24"/>
      <c r="I715" s="18"/>
      <c r="J715" s="19"/>
      <c r="M715" s="14"/>
      <c r="N715" s="14"/>
      <c r="O715" s="14"/>
    </row>
    <row r="716">
      <c r="D716" s="24"/>
      <c r="E716" s="24"/>
      <c r="F716" s="24"/>
      <c r="G716" s="24"/>
      <c r="I716" s="18"/>
      <c r="J716" s="19"/>
      <c r="M716" s="14"/>
      <c r="N716" s="14"/>
      <c r="O716" s="14"/>
    </row>
    <row r="717">
      <c r="D717" s="24"/>
      <c r="E717" s="24"/>
      <c r="F717" s="24"/>
      <c r="G717" s="24"/>
      <c r="I717" s="18"/>
      <c r="J717" s="19"/>
      <c r="M717" s="14"/>
      <c r="N717" s="14"/>
      <c r="O717" s="14"/>
    </row>
    <row r="718">
      <c r="D718" s="24"/>
      <c r="E718" s="24"/>
      <c r="F718" s="24"/>
      <c r="G718" s="24"/>
      <c r="I718" s="18"/>
      <c r="J718" s="19"/>
      <c r="M718" s="14"/>
      <c r="N718" s="14"/>
      <c r="O718" s="14"/>
    </row>
    <row r="719">
      <c r="D719" s="24"/>
      <c r="E719" s="24"/>
      <c r="F719" s="24"/>
      <c r="G719" s="24"/>
      <c r="I719" s="18"/>
      <c r="J719" s="19"/>
      <c r="M719" s="14"/>
      <c r="N719" s="14"/>
      <c r="O719" s="14"/>
    </row>
    <row r="720">
      <c r="D720" s="24"/>
      <c r="E720" s="24"/>
      <c r="F720" s="24"/>
      <c r="G720" s="24"/>
      <c r="I720" s="18"/>
      <c r="J720" s="19"/>
      <c r="M720" s="14"/>
      <c r="N720" s="14"/>
      <c r="O720" s="14"/>
    </row>
    <row r="721">
      <c r="D721" s="24"/>
      <c r="E721" s="24"/>
      <c r="F721" s="24"/>
      <c r="G721" s="24"/>
      <c r="I721" s="18"/>
      <c r="J721" s="19"/>
      <c r="M721" s="14"/>
      <c r="N721" s="14"/>
      <c r="O721" s="14"/>
    </row>
    <row r="722">
      <c r="D722" s="24"/>
      <c r="E722" s="24"/>
      <c r="F722" s="24"/>
      <c r="G722" s="24"/>
      <c r="I722" s="18"/>
      <c r="J722" s="19"/>
      <c r="M722" s="14"/>
      <c r="N722" s="14"/>
      <c r="O722" s="14"/>
    </row>
    <row r="723">
      <c r="D723" s="24"/>
      <c r="E723" s="24"/>
      <c r="F723" s="24"/>
      <c r="G723" s="24"/>
      <c r="I723" s="18"/>
      <c r="J723" s="19"/>
      <c r="M723" s="14"/>
      <c r="N723" s="14"/>
      <c r="O723" s="14"/>
    </row>
    <row r="724">
      <c r="D724" s="24"/>
      <c r="E724" s="24"/>
      <c r="F724" s="24"/>
      <c r="G724" s="24"/>
      <c r="I724" s="18"/>
      <c r="J724" s="19"/>
      <c r="M724" s="14"/>
      <c r="N724" s="14"/>
      <c r="O724" s="14"/>
    </row>
    <row r="725">
      <c r="D725" s="24"/>
      <c r="E725" s="24"/>
      <c r="F725" s="24"/>
      <c r="G725" s="24"/>
      <c r="I725" s="18"/>
      <c r="J725" s="19"/>
      <c r="M725" s="14"/>
      <c r="N725" s="14"/>
      <c r="O725" s="14"/>
    </row>
    <row r="726">
      <c r="D726" s="24"/>
      <c r="E726" s="24"/>
      <c r="F726" s="24"/>
      <c r="G726" s="24"/>
      <c r="I726" s="18"/>
      <c r="J726" s="19"/>
      <c r="M726" s="14"/>
      <c r="N726" s="14"/>
      <c r="O726" s="14"/>
    </row>
    <row r="727">
      <c r="D727" s="24"/>
      <c r="E727" s="24"/>
      <c r="F727" s="24"/>
      <c r="G727" s="24"/>
      <c r="I727" s="18"/>
      <c r="J727" s="19"/>
      <c r="M727" s="14"/>
      <c r="N727" s="14"/>
      <c r="O727" s="14"/>
    </row>
    <row r="728">
      <c r="D728" s="24"/>
      <c r="E728" s="24"/>
      <c r="F728" s="24"/>
      <c r="G728" s="24"/>
      <c r="I728" s="18"/>
      <c r="J728" s="19"/>
      <c r="M728" s="14"/>
      <c r="N728" s="14"/>
      <c r="O728" s="14"/>
    </row>
    <row r="729">
      <c r="D729" s="24"/>
      <c r="E729" s="24"/>
      <c r="F729" s="24"/>
      <c r="G729" s="24"/>
      <c r="I729" s="18"/>
      <c r="J729" s="19"/>
      <c r="M729" s="14"/>
      <c r="N729" s="14"/>
      <c r="O729" s="14"/>
    </row>
    <row r="730">
      <c r="D730" s="24"/>
      <c r="E730" s="24"/>
      <c r="F730" s="24"/>
      <c r="G730" s="24"/>
      <c r="I730" s="18"/>
      <c r="J730" s="19"/>
      <c r="M730" s="14"/>
      <c r="N730" s="14"/>
      <c r="O730" s="14"/>
    </row>
    <row r="731">
      <c r="D731" s="24"/>
      <c r="E731" s="24"/>
      <c r="F731" s="24"/>
      <c r="G731" s="24"/>
      <c r="I731" s="18"/>
      <c r="J731" s="19"/>
      <c r="M731" s="14"/>
      <c r="N731" s="14"/>
      <c r="O731" s="14"/>
    </row>
    <row r="732">
      <c r="D732" s="24"/>
      <c r="E732" s="24"/>
      <c r="F732" s="24"/>
      <c r="G732" s="24"/>
      <c r="I732" s="18"/>
      <c r="J732" s="19"/>
      <c r="M732" s="14"/>
      <c r="N732" s="14"/>
      <c r="O732" s="14"/>
    </row>
    <row r="733">
      <c r="D733" s="24"/>
      <c r="E733" s="24"/>
      <c r="F733" s="24"/>
      <c r="G733" s="24"/>
      <c r="I733" s="18"/>
      <c r="J733" s="19"/>
      <c r="M733" s="14"/>
      <c r="N733" s="14"/>
      <c r="O733" s="14"/>
    </row>
    <row r="734">
      <c r="D734" s="24"/>
      <c r="E734" s="24"/>
      <c r="F734" s="24"/>
      <c r="G734" s="24"/>
      <c r="I734" s="18"/>
      <c r="J734" s="19"/>
      <c r="M734" s="14"/>
      <c r="N734" s="14"/>
      <c r="O734" s="14"/>
    </row>
    <row r="735">
      <c r="D735" s="24"/>
      <c r="E735" s="24"/>
      <c r="F735" s="24"/>
      <c r="G735" s="24"/>
      <c r="I735" s="18"/>
      <c r="J735" s="19"/>
      <c r="M735" s="14"/>
      <c r="N735" s="14"/>
      <c r="O735" s="14"/>
    </row>
    <row r="736">
      <c r="D736" s="24"/>
      <c r="E736" s="24"/>
      <c r="F736" s="24"/>
      <c r="G736" s="24"/>
      <c r="I736" s="18"/>
      <c r="J736" s="19"/>
      <c r="M736" s="14"/>
      <c r="N736" s="14"/>
      <c r="O736" s="14"/>
    </row>
    <row r="737">
      <c r="D737" s="24"/>
      <c r="E737" s="24"/>
      <c r="F737" s="24"/>
      <c r="G737" s="24"/>
      <c r="I737" s="18"/>
      <c r="J737" s="19"/>
      <c r="M737" s="14"/>
      <c r="N737" s="14"/>
      <c r="O737" s="14"/>
    </row>
    <row r="738">
      <c r="D738" s="24"/>
      <c r="E738" s="24"/>
      <c r="F738" s="24"/>
      <c r="G738" s="24"/>
      <c r="I738" s="18"/>
      <c r="J738" s="19"/>
      <c r="M738" s="14"/>
      <c r="N738" s="14"/>
      <c r="O738" s="14"/>
    </row>
    <row r="739">
      <c r="D739" s="24"/>
      <c r="E739" s="24"/>
      <c r="F739" s="24"/>
      <c r="G739" s="24"/>
      <c r="I739" s="18"/>
      <c r="J739" s="19"/>
      <c r="M739" s="14"/>
      <c r="N739" s="14"/>
      <c r="O739" s="14"/>
    </row>
    <row r="740">
      <c r="D740" s="24"/>
      <c r="E740" s="24"/>
      <c r="F740" s="24"/>
      <c r="G740" s="24"/>
      <c r="I740" s="18"/>
      <c r="J740" s="19"/>
      <c r="M740" s="14"/>
      <c r="N740" s="14"/>
      <c r="O740" s="14"/>
    </row>
    <row r="741">
      <c r="D741" s="24"/>
      <c r="E741" s="24"/>
      <c r="F741" s="24"/>
      <c r="G741" s="24"/>
      <c r="I741" s="18"/>
      <c r="J741" s="19"/>
      <c r="M741" s="14"/>
      <c r="N741" s="14"/>
      <c r="O741" s="14"/>
    </row>
    <row r="742">
      <c r="D742" s="24"/>
      <c r="E742" s="24"/>
      <c r="F742" s="24"/>
      <c r="G742" s="24"/>
      <c r="I742" s="18"/>
      <c r="J742" s="19"/>
      <c r="M742" s="14"/>
      <c r="N742" s="14"/>
      <c r="O742" s="14"/>
    </row>
    <row r="743">
      <c r="D743" s="24"/>
      <c r="E743" s="24"/>
      <c r="F743" s="24"/>
      <c r="G743" s="24"/>
      <c r="I743" s="18"/>
      <c r="J743" s="19"/>
      <c r="M743" s="14"/>
      <c r="N743" s="14"/>
      <c r="O743" s="14"/>
    </row>
    <row r="744">
      <c r="D744" s="24"/>
      <c r="E744" s="24"/>
      <c r="F744" s="24"/>
      <c r="G744" s="24"/>
      <c r="I744" s="18"/>
      <c r="J744" s="19"/>
      <c r="M744" s="14"/>
      <c r="N744" s="14"/>
      <c r="O744" s="14"/>
    </row>
    <row r="745">
      <c r="D745" s="24"/>
      <c r="E745" s="24"/>
      <c r="F745" s="24"/>
      <c r="G745" s="24"/>
      <c r="I745" s="18"/>
      <c r="J745" s="19"/>
      <c r="M745" s="14"/>
      <c r="N745" s="14"/>
      <c r="O745" s="14"/>
    </row>
    <row r="746">
      <c r="D746" s="24"/>
      <c r="E746" s="24"/>
      <c r="F746" s="24"/>
      <c r="G746" s="24"/>
      <c r="I746" s="18"/>
      <c r="J746" s="19"/>
      <c r="M746" s="14"/>
      <c r="N746" s="14"/>
      <c r="O746" s="14"/>
    </row>
    <row r="747">
      <c r="D747" s="24"/>
      <c r="E747" s="24"/>
      <c r="F747" s="24"/>
      <c r="G747" s="24"/>
      <c r="I747" s="18"/>
      <c r="J747" s="19"/>
      <c r="M747" s="14"/>
      <c r="N747" s="14"/>
      <c r="O747" s="14"/>
    </row>
    <row r="748">
      <c r="D748" s="24"/>
      <c r="E748" s="24"/>
      <c r="F748" s="24"/>
      <c r="G748" s="24"/>
      <c r="I748" s="18"/>
      <c r="J748" s="19"/>
      <c r="M748" s="14"/>
      <c r="N748" s="14"/>
      <c r="O748" s="14"/>
    </row>
    <row r="749">
      <c r="D749" s="24"/>
      <c r="E749" s="24"/>
      <c r="F749" s="24"/>
      <c r="G749" s="24"/>
      <c r="I749" s="18"/>
      <c r="J749" s="19"/>
      <c r="M749" s="14"/>
      <c r="N749" s="14"/>
      <c r="O749" s="14"/>
    </row>
    <row r="750">
      <c r="D750" s="24"/>
      <c r="E750" s="24"/>
      <c r="F750" s="24"/>
      <c r="G750" s="24"/>
      <c r="I750" s="18"/>
      <c r="J750" s="19"/>
      <c r="M750" s="14"/>
      <c r="N750" s="14"/>
      <c r="O750" s="14"/>
    </row>
    <row r="751">
      <c r="D751" s="24"/>
      <c r="E751" s="24"/>
      <c r="F751" s="24"/>
      <c r="G751" s="24"/>
      <c r="I751" s="18"/>
      <c r="J751" s="19"/>
      <c r="M751" s="14"/>
      <c r="N751" s="14"/>
      <c r="O751" s="14"/>
    </row>
    <row r="752">
      <c r="D752" s="24"/>
      <c r="E752" s="24"/>
      <c r="F752" s="24"/>
      <c r="G752" s="24"/>
      <c r="I752" s="18"/>
      <c r="J752" s="19"/>
      <c r="M752" s="14"/>
      <c r="N752" s="14"/>
      <c r="O752" s="14"/>
    </row>
    <row r="753">
      <c r="D753" s="24"/>
      <c r="E753" s="24"/>
      <c r="F753" s="24"/>
      <c r="G753" s="24"/>
      <c r="I753" s="18"/>
      <c r="J753" s="19"/>
      <c r="M753" s="14"/>
      <c r="N753" s="14"/>
      <c r="O753" s="14"/>
    </row>
    <row r="754">
      <c r="D754" s="24"/>
      <c r="E754" s="24"/>
      <c r="F754" s="24"/>
      <c r="G754" s="24"/>
      <c r="I754" s="18"/>
      <c r="J754" s="19"/>
      <c r="M754" s="14"/>
      <c r="N754" s="14"/>
      <c r="O754" s="14"/>
    </row>
    <row r="755">
      <c r="D755" s="24"/>
      <c r="E755" s="24"/>
      <c r="F755" s="24"/>
      <c r="G755" s="24"/>
      <c r="I755" s="18"/>
      <c r="J755" s="19"/>
      <c r="M755" s="14"/>
      <c r="N755" s="14"/>
      <c r="O755" s="14"/>
    </row>
    <row r="756">
      <c r="D756" s="24"/>
      <c r="E756" s="24"/>
      <c r="F756" s="24"/>
      <c r="G756" s="24"/>
      <c r="I756" s="18"/>
      <c r="J756" s="19"/>
      <c r="M756" s="14"/>
      <c r="N756" s="14"/>
      <c r="O756" s="14"/>
    </row>
    <row r="757">
      <c r="D757" s="24"/>
      <c r="E757" s="24"/>
      <c r="F757" s="24"/>
      <c r="G757" s="24"/>
      <c r="I757" s="18"/>
      <c r="J757" s="19"/>
      <c r="M757" s="14"/>
      <c r="N757" s="14"/>
      <c r="O757" s="14"/>
    </row>
    <row r="758">
      <c r="D758" s="24"/>
      <c r="E758" s="24"/>
      <c r="F758" s="24"/>
      <c r="G758" s="24"/>
      <c r="I758" s="18"/>
      <c r="J758" s="19"/>
      <c r="M758" s="14"/>
      <c r="N758" s="14"/>
      <c r="O758" s="14"/>
    </row>
    <row r="759">
      <c r="D759" s="24"/>
      <c r="E759" s="24"/>
      <c r="F759" s="24"/>
      <c r="G759" s="24"/>
      <c r="I759" s="18"/>
      <c r="J759" s="19"/>
      <c r="M759" s="14"/>
      <c r="N759" s="14"/>
      <c r="O759" s="14"/>
    </row>
    <row r="760">
      <c r="D760" s="24"/>
      <c r="E760" s="24"/>
      <c r="F760" s="24"/>
      <c r="G760" s="24"/>
      <c r="I760" s="18"/>
      <c r="J760" s="19"/>
      <c r="M760" s="14"/>
      <c r="N760" s="14"/>
      <c r="O760" s="14"/>
    </row>
    <row r="761">
      <c r="D761" s="24"/>
      <c r="E761" s="24"/>
      <c r="F761" s="24"/>
      <c r="G761" s="24"/>
      <c r="I761" s="18"/>
      <c r="J761" s="19"/>
      <c r="M761" s="14"/>
      <c r="N761" s="14"/>
      <c r="O761" s="14"/>
    </row>
    <row r="762">
      <c r="D762" s="24"/>
      <c r="E762" s="24"/>
      <c r="F762" s="24"/>
      <c r="G762" s="24"/>
      <c r="I762" s="18"/>
      <c r="J762" s="19"/>
      <c r="M762" s="14"/>
      <c r="N762" s="14"/>
      <c r="O762" s="14"/>
    </row>
    <row r="763">
      <c r="D763" s="24"/>
      <c r="E763" s="24"/>
      <c r="F763" s="24"/>
      <c r="G763" s="24"/>
      <c r="I763" s="18"/>
      <c r="J763" s="19"/>
      <c r="M763" s="14"/>
      <c r="N763" s="14"/>
      <c r="O763" s="14"/>
    </row>
    <row r="764">
      <c r="D764" s="24"/>
      <c r="E764" s="24"/>
      <c r="F764" s="24"/>
      <c r="G764" s="24"/>
      <c r="I764" s="18"/>
      <c r="J764" s="19"/>
      <c r="M764" s="14"/>
      <c r="N764" s="14"/>
      <c r="O764" s="14"/>
    </row>
    <row r="765">
      <c r="D765" s="24"/>
      <c r="E765" s="24"/>
      <c r="F765" s="24"/>
      <c r="G765" s="24"/>
      <c r="I765" s="18"/>
      <c r="J765" s="19"/>
      <c r="M765" s="14"/>
      <c r="N765" s="14"/>
      <c r="O765" s="14"/>
    </row>
    <row r="766">
      <c r="D766" s="24"/>
      <c r="E766" s="24"/>
      <c r="F766" s="24"/>
      <c r="G766" s="24"/>
      <c r="I766" s="18"/>
      <c r="J766" s="19"/>
      <c r="M766" s="14"/>
      <c r="N766" s="14"/>
      <c r="O766" s="14"/>
    </row>
    <row r="767">
      <c r="D767" s="24"/>
      <c r="E767" s="24"/>
      <c r="F767" s="24"/>
      <c r="G767" s="24"/>
      <c r="I767" s="18"/>
      <c r="J767" s="19"/>
      <c r="M767" s="14"/>
      <c r="N767" s="14"/>
      <c r="O767" s="14"/>
    </row>
    <row r="768">
      <c r="D768" s="24"/>
      <c r="E768" s="24"/>
      <c r="F768" s="24"/>
      <c r="G768" s="24"/>
      <c r="I768" s="18"/>
      <c r="J768" s="19"/>
      <c r="M768" s="14"/>
      <c r="N768" s="14"/>
      <c r="O768" s="14"/>
    </row>
    <row r="769">
      <c r="D769" s="24"/>
      <c r="E769" s="24"/>
      <c r="F769" s="24"/>
      <c r="G769" s="24"/>
      <c r="I769" s="18"/>
      <c r="J769" s="19"/>
      <c r="M769" s="14"/>
      <c r="N769" s="14"/>
      <c r="O769" s="14"/>
    </row>
    <row r="770">
      <c r="D770" s="24"/>
      <c r="E770" s="24"/>
      <c r="F770" s="24"/>
      <c r="G770" s="24"/>
      <c r="I770" s="18"/>
      <c r="J770" s="19"/>
      <c r="M770" s="14"/>
      <c r="N770" s="14"/>
      <c r="O770" s="14"/>
    </row>
    <row r="771">
      <c r="D771" s="24"/>
      <c r="E771" s="24"/>
      <c r="F771" s="24"/>
      <c r="G771" s="24"/>
      <c r="I771" s="18"/>
      <c r="J771" s="19"/>
      <c r="M771" s="14"/>
      <c r="N771" s="14"/>
      <c r="O771" s="14"/>
    </row>
    <row r="772">
      <c r="D772" s="24"/>
      <c r="E772" s="24"/>
      <c r="F772" s="24"/>
      <c r="G772" s="24"/>
      <c r="I772" s="18"/>
      <c r="J772" s="19"/>
      <c r="M772" s="14"/>
      <c r="N772" s="14"/>
      <c r="O772" s="14"/>
    </row>
    <row r="773">
      <c r="D773" s="24"/>
      <c r="E773" s="24"/>
      <c r="F773" s="24"/>
      <c r="G773" s="24"/>
      <c r="I773" s="18"/>
      <c r="J773" s="19"/>
      <c r="M773" s="14"/>
      <c r="N773" s="14"/>
      <c r="O773" s="14"/>
    </row>
    <row r="774">
      <c r="D774" s="24"/>
      <c r="E774" s="24"/>
      <c r="F774" s="24"/>
      <c r="G774" s="24"/>
      <c r="I774" s="18"/>
      <c r="J774" s="19"/>
      <c r="M774" s="14"/>
      <c r="N774" s="14"/>
      <c r="O774" s="14"/>
    </row>
    <row r="775">
      <c r="D775" s="24"/>
      <c r="E775" s="24"/>
      <c r="F775" s="24"/>
      <c r="G775" s="24"/>
      <c r="I775" s="18"/>
      <c r="J775" s="19"/>
      <c r="M775" s="14"/>
      <c r="N775" s="14"/>
      <c r="O775" s="14"/>
    </row>
    <row r="776">
      <c r="D776" s="24"/>
      <c r="E776" s="24"/>
      <c r="F776" s="24"/>
      <c r="G776" s="24"/>
      <c r="I776" s="18"/>
      <c r="J776" s="19"/>
      <c r="M776" s="14"/>
      <c r="N776" s="14"/>
      <c r="O776" s="14"/>
    </row>
    <row r="777">
      <c r="D777" s="24"/>
      <c r="E777" s="24"/>
      <c r="F777" s="24"/>
      <c r="G777" s="24"/>
      <c r="I777" s="18"/>
      <c r="J777" s="19"/>
      <c r="M777" s="14"/>
      <c r="N777" s="14"/>
      <c r="O777" s="14"/>
    </row>
    <row r="778">
      <c r="D778" s="24"/>
      <c r="E778" s="24"/>
      <c r="F778" s="24"/>
      <c r="G778" s="24"/>
      <c r="I778" s="18"/>
      <c r="J778" s="19"/>
      <c r="M778" s="14"/>
      <c r="N778" s="14"/>
      <c r="O778" s="14"/>
    </row>
    <row r="779">
      <c r="D779" s="24"/>
      <c r="E779" s="24"/>
      <c r="F779" s="24"/>
      <c r="G779" s="24"/>
      <c r="I779" s="18"/>
      <c r="J779" s="19"/>
      <c r="M779" s="14"/>
      <c r="N779" s="14"/>
      <c r="O779" s="14"/>
    </row>
    <row r="780">
      <c r="D780" s="24"/>
      <c r="E780" s="24"/>
      <c r="F780" s="24"/>
      <c r="G780" s="24"/>
      <c r="I780" s="18"/>
      <c r="J780" s="19"/>
      <c r="M780" s="14"/>
      <c r="N780" s="14"/>
      <c r="O780" s="14"/>
    </row>
    <row r="781">
      <c r="D781" s="24"/>
      <c r="E781" s="24"/>
      <c r="F781" s="24"/>
      <c r="G781" s="24"/>
      <c r="I781" s="18"/>
      <c r="J781" s="19"/>
      <c r="M781" s="14"/>
      <c r="N781" s="14"/>
      <c r="O781" s="14"/>
    </row>
    <row r="782">
      <c r="D782" s="24"/>
      <c r="E782" s="24"/>
      <c r="F782" s="24"/>
      <c r="G782" s="24"/>
      <c r="I782" s="18"/>
      <c r="J782" s="19"/>
      <c r="M782" s="14"/>
      <c r="N782" s="14"/>
      <c r="O782" s="14"/>
    </row>
    <row r="783">
      <c r="D783" s="24"/>
      <c r="E783" s="24"/>
      <c r="F783" s="24"/>
      <c r="G783" s="24"/>
      <c r="I783" s="18"/>
      <c r="J783" s="19"/>
      <c r="M783" s="14"/>
      <c r="N783" s="14"/>
      <c r="O783" s="14"/>
    </row>
    <row r="784">
      <c r="D784" s="24"/>
      <c r="E784" s="24"/>
      <c r="F784" s="24"/>
      <c r="G784" s="24"/>
      <c r="I784" s="18"/>
      <c r="J784" s="19"/>
      <c r="M784" s="14"/>
      <c r="N784" s="14"/>
      <c r="O784" s="14"/>
    </row>
    <row r="785">
      <c r="D785" s="24"/>
      <c r="E785" s="24"/>
      <c r="F785" s="24"/>
      <c r="G785" s="24"/>
      <c r="I785" s="18"/>
      <c r="J785" s="19"/>
      <c r="M785" s="14"/>
      <c r="N785" s="14"/>
      <c r="O785" s="14"/>
    </row>
    <row r="786">
      <c r="D786" s="24"/>
      <c r="E786" s="24"/>
      <c r="F786" s="24"/>
      <c r="G786" s="24"/>
      <c r="I786" s="18"/>
      <c r="J786" s="19"/>
      <c r="M786" s="14"/>
      <c r="N786" s="14"/>
      <c r="O786" s="14"/>
    </row>
    <row r="787">
      <c r="D787" s="24"/>
      <c r="E787" s="24"/>
      <c r="F787" s="24"/>
      <c r="G787" s="24"/>
      <c r="I787" s="18"/>
      <c r="J787" s="19"/>
      <c r="M787" s="14"/>
      <c r="N787" s="14"/>
      <c r="O787" s="14"/>
    </row>
    <row r="788">
      <c r="D788" s="24"/>
      <c r="E788" s="24"/>
      <c r="F788" s="24"/>
      <c r="G788" s="24"/>
      <c r="I788" s="18"/>
      <c r="J788" s="19"/>
      <c r="M788" s="14"/>
      <c r="N788" s="14"/>
      <c r="O788" s="14"/>
    </row>
    <row r="789">
      <c r="D789" s="24"/>
      <c r="E789" s="24"/>
      <c r="F789" s="24"/>
      <c r="G789" s="24"/>
      <c r="I789" s="18"/>
      <c r="J789" s="19"/>
      <c r="M789" s="14"/>
      <c r="N789" s="14"/>
      <c r="O789" s="14"/>
    </row>
    <row r="790">
      <c r="D790" s="24"/>
      <c r="E790" s="24"/>
      <c r="F790" s="24"/>
      <c r="G790" s="24"/>
      <c r="I790" s="18"/>
      <c r="J790" s="19"/>
      <c r="M790" s="14"/>
      <c r="N790" s="14"/>
      <c r="O790" s="14"/>
    </row>
    <row r="791">
      <c r="D791" s="24"/>
      <c r="E791" s="24"/>
      <c r="F791" s="24"/>
      <c r="G791" s="24"/>
      <c r="I791" s="18"/>
      <c r="J791" s="19"/>
      <c r="M791" s="14"/>
      <c r="N791" s="14"/>
      <c r="O791" s="14"/>
    </row>
    <row r="792">
      <c r="D792" s="24"/>
      <c r="E792" s="24"/>
      <c r="F792" s="24"/>
      <c r="G792" s="24"/>
      <c r="I792" s="18"/>
      <c r="J792" s="19"/>
      <c r="M792" s="14"/>
      <c r="N792" s="14"/>
      <c r="O792" s="14"/>
    </row>
    <row r="793">
      <c r="D793" s="24"/>
      <c r="E793" s="24"/>
      <c r="F793" s="24"/>
      <c r="G793" s="24"/>
      <c r="I793" s="18"/>
      <c r="J793" s="19"/>
      <c r="M793" s="14"/>
      <c r="N793" s="14"/>
      <c r="O793" s="14"/>
    </row>
    <row r="794">
      <c r="D794" s="24"/>
      <c r="E794" s="24"/>
      <c r="F794" s="24"/>
      <c r="G794" s="24"/>
      <c r="I794" s="18"/>
      <c r="J794" s="19"/>
      <c r="M794" s="14"/>
      <c r="N794" s="14"/>
      <c r="O794" s="14"/>
    </row>
    <row r="795">
      <c r="D795" s="24"/>
      <c r="E795" s="24"/>
      <c r="F795" s="24"/>
      <c r="G795" s="24"/>
      <c r="I795" s="18"/>
      <c r="J795" s="19"/>
      <c r="M795" s="14"/>
      <c r="N795" s="14"/>
      <c r="O795" s="14"/>
    </row>
    <row r="796">
      <c r="D796" s="24"/>
      <c r="E796" s="24"/>
      <c r="F796" s="24"/>
      <c r="G796" s="24"/>
      <c r="I796" s="18"/>
      <c r="J796" s="19"/>
      <c r="M796" s="14"/>
      <c r="N796" s="14"/>
      <c r="O796" s="14"/>
    </row>
    <row r="797">
      <c r="D797" s="24"/>
      <c r="E797" s="24"/>
      <c r="F797" s="24"/>
      <c r="G797" s="24"/>
      <c r="I797" s="18"/>
      <c r="J797" s="19"/>
      <c r="M797" s="14"/>
      <c r="N797" s="14"/>
      <c r="O797" s="14"/>
    </row>
    <row r="798">
      <c r="D798" s="24"/>
      <c r="E798" s="24"/>
      <c r="F798" s="24"/>
      <c r="G798" s="24"/>
      <c r="I798" s="18"/>
      <c r="J798" s="19"/>
      <c r="M798" s="14"/>
      <c r="N798" s="14"/>
      <c r="O798" s="14"/>
    </row>
    <row r="799">
      <c r="D799" s="24"/>
      <c r="E799" s="24"/>
      <c r="F799" s="24"/>
      <c r="G799" s="24"/>
      <c r="I799" s="18"/>
      <c r="J799" s="19"/>
      <c r="M799" s="14"/>
      <c r="N799" s="14"/>
      <c r="O799" s="14"/>
    </row>
    <row r="800">
      <c r="D800" s="24"/>
      <c r="E800" s="24"/>
      <c r="F800" s="24"/>
      <c r="G800" s="24"/>
      <c r="I800" s="18"/>
      <c r="J800" s="19"/>
      <c r="M800" s="14"/>
      <c r="N800" s="14"/>
      <c r="O800" s="14"/>
    </row>
    <row r="801">
      <c r="D801" s="24"/>
      <c r="E801" s="24"/>
      <c r="F801" s="24"/>
      <c r="G801" s="24"/>
      <c r="I801" s="18"/>
      <c r="J801" s="19"/>
      <c r="M801" s="14"/>
      <c r="N801" s="14"/>
      <c r="O801" s="14"/>
    </row>
    <row r="802">
      <c r="D802" s="24"/>
      <c r="E802" s="24"/>
      <c r="F802" s="24"/>
      <c r="G802" s="24"/>
      <c r="I802" s="18"/>
      <c r="J802" s="19"/>
      <c r="M802" s="14"/>
      <c r="N802" s="14"/>
      <c r="O802" s="14"/>
    </row>
    <row r="803">
      <c r="D803" s="24"/>
      <c r="E803" s="24"/>
      <c r="F803" s="24"/>
      <c r="G803" s="24"/>
      <c r="I803" s="18"/>
      <c r="J803" s="19"/>
      <c r="M803" s="14"/>
      <c r="N803" s="14"/>
      <c r="O803" s="14"/>
    </row>
    <row r="804">
      <c r="D804" s="24"/>
      <c r="E804" s="24"/>
      <c r="F804" s="24"/>
      <c r="G804" s="24"/>
      <c r="I804" s="18"/>
      <c r="J804" s="19"/>
      <c r="M804" s="14"/>
      <c r="N804" s="14"/>
      <c r="O804" s="14"/>
    </row>
    <row r="805">
      <c r="D805" s="24"/>
      <c r="E805" s="24"/>
      <c r="F805" s="24"/>
      <c r="G805" s="24"/>
      <c r="I805" s="18"/>
      <c r="J805" s="19"/>
      <c r="M805" s="14"/>
      <c r="N805" s="14"/>
      <c r="O805" s="14"/>
    </row>
    <row r="806">
      <c r="D806" s="24"/>
      <c r="E806" s="24"/>
      <c r="F806" s="24"/>
      <c r="G806" s="24"/>
      <c r="I806" s="18"/>
      <c r="J806" s="19"/>
      <c r="M806" s="14"/>
      <c r="N806" s="14"/>
      <c r="O806" s="14"/>
    </row>
    <row r="807">
      <c r="D807" s="24"/>
      <c r="E807" s="24"/>
      <c r="F807" s="24"/>
      <c r="G807" s="24"/>
      <c r="I807" s="18"/>
      <c r="J807" s="19"/>
      <c r="M807" s="14"/>
      <c r="N807" s="14"/>
      <c r="O807" s="14"/>
    </row>
    <row r="808">
      <c r="D808" s="24"/>
      <c r="E808" s="24"/>
      <c r="F808" s="24"/>
      <c r="G808" s="24"/>
      <c r="I808" s="18"/>
      <c r="J808" s="19"/>
      <c r="M808" s="14"/>
      <c r="N808" s="14"/>
      <c r="O808" s="14"/>
    </row>
    <row r="809">
      <c r="D809" s="24"/>
      <c r="E809" s="24"/>
      <c r="F809" s="24"/>
      <c r="G809" s="24"/>
      <c r="I809" s="18"/>
      <c r="J809" s="19"/>
      <c r="M809" s="14"/>
      <c r="N809" s="14"/>
      <c r="O809" s="14"/>
    </row>
    <row r="810">
      <c r="D810" s="24"/>
      <c r="E810" s="24"/>
      <c r="F810" s="24"/>
      <c r="G810" s="24"/>
      <c r="I810" s="18"/>
      <c r="J810" s="19"/>
      <c r="M810" s="14"/>
      <c r="N810" s="14"/>
      <c r="O810" s="14"/>
    </row>
    <row r="811">
      <c r="D811" s="24"/>
      <c r="E811" s="24"/>
      <c r="F811" s="24"/>
      <c r="G811" s="24"/>
      <c r="I811" s="18"/>
      <c r="J811" s="19"/>
      <c r="M811" s="14"/>
      <c r="N811" s="14"/>
      <c r="O811" s="14"/>
    </row>
    <row r="812">
      <c r="D812" s="24"/>
      <c r="E812" s="24"/>
      <c r="F812" s="24"/>
      <c r="G812" s="24"/>
      <c r="I812" s="18"/>
      <c r="J812" s="19"/>
      <c r="M812" s="14"/>
      <c r="N812" s="14"/>
      <c r="O812" s="14"/>
    </row>
    <row r="813">
      <c r="D813" s="24"/>
      <c r="E813" s="24"/>
      <c r="F813" s="24"/>
      <c r="G813" s="24"/>
      <c r="I813" s="18"/>
      <c r="J813" s="19"/>
      <c r="M813" s="14"/>
      <c r="N813" s="14"/>
      <c r="O813" s="14"/>
    </row>
    <row r="814">
      <c r="D814" s="24"/>
      <c r="E814" s="24"/>
      <c r="F814" s="24"/>
      <c r="G814" s="24"/>
      <c r="I814" s="18"/>
      <c r="J814" s="19"/>
      <c r="M814" s="14"/>
      <c r="N814" s="14"/>
      <c r="O814" s="14"/>
    </row>
    <row r="815">
      <c r="D815" s="24"/>
      <c r="E815" s="24"/>
      <c r="F815" s="24"/>
      <c r="G815" s="24"/>
      <c r="I815" s="18"/>
      <c r="J815" s="19"/>
      <c r="M815" s="14"/>
      <c r="N815" s="14"/>
      <c r="O815" s="14"/>
    </row>
    <row r="816">
      <c r="D816" s="24"/>
      <c r="E816" s="24"/>
      <c r="F816" s="24"/>
      <c r="G816" s="24"/>
      <c r="I816" s="18"/>
      <c r="J816" s="19"/>
      <c r="M816" s="14"/>
      <c r="N816" s="14"/>
      <c r="O816" s="14"/>
    </row>
    <row r="817">
      <c r="D817" s="24"/>
      <c r="E817" s="24"/>
      <c r="F817" s="24"/>
      <c r="G817" s="24"/>
      <c r="I817" s="18"/>
      <c r="J817" s="19"/>
      <c r="M817" s="14"/>
      <c r="N817" s="14"/>
      <c r="O817" s="14"/>
    </row>
    <row r="818">
      <c r="D818" s="24"/>
      <c r="E818" s="24"/>
      <c r="F818" s="24"/>
      <c r="G818" s="24"/>
      <c r="I818" s="18"/>
      <c r="J818" s="19"/>
      <c r="M818" s="14"/>
      <c r="N818" s="14"/>
      <c r="O818" s="14"/>
    </row>
    <row r="819">
      <c r="D819" s="24"/>
      <c r="E819" s="24"/>
      <c r="F819" s="24"/>
      <c r="G819" s="24"/>
      <c r="I819" s="18"/>
      <c r="J819" s="19"/>
      <c r="M819" s="14"/>
      <c r="N819" s="14"/>
      <c r="O819" s="14"/>
    </row>
    <row r="820">
      <c r="D820" s="24"/>
      <c r="E820" s="24"/>
      <c r="F820" s="24"/>
      <c r="G820" s="24"/>
      <c r="I820" s="18"/>
      <c r="J820" s="19"/>
      <c r="M820" s="14"/>
      <c r="N820" s="14"/>
      <c r="O820" s="14"/>
    </row>
    <row r="821">
      <c r="D821" s="24"/>
      <c r="E821" s="24"/>
      <c r="F821" s="24"/>
      <c r="G821" s="24"/>
      <c r="I821" s="18"/>
      <c r="J821" s="19"/>
      <c r="M821" s="14"/>
      <c r="N821" s="14"/>
      <c r="O821" s="14"/>
    </row>
    <row r="822">
      <c r="D822" s="24"/>
      <c r="E822" s="24"/>
      <c r="F822" s="24"/>
      <c r="G822" s="24"/>
      <c r="I822" s="18"/>
      <c r="J822" s="19"/>
      <c r="M822" s="14"/>
      <c r="N822" s="14"/>
      <c r="O822" s="14"/>
    </row>
    <row r="823">
      <c r="D823" s="24"/>
      <c r="E823" s="24"/>
      <c r="F823" s="24"/>
      <c r="G823" s="24"/>
      <c r="I823" s="18"/>
      <c r="J823" s="19"/>
      <c r="M823" s="14"/>
      <c r="N823" s="14"/>
      <c r="O823" s="14"/>
    </row>
    <row r="824">
      <c r="D824" s="24"/>
      <c r="E824" s="24"/>
      <c r="F824" s="24"/>
      <c r="G824" s="24"/>
      <c r="I824" s="18"/>
      <c r="J824" s="19"/>
      <c r="M824" s="14"/>
      <c r="N824" s="14"/>
      <c r="O824" s="14"/>
    </row>
    <row r="825">
      <c r="D825" s="24"/>
      <c r="E825" s="24"/>
      <c r="F825" s="24"/>
      <c r="G825" s="24"/>
      <c r="I825" s="18"/>
      <c r="J825" s="19"/>
      <c r="M825" s="14"/>
      <c r="N825" s="14"/>
      <c r="O825" s="14"/>
    </row>
    <row r="826">
      <c r="D826" s="24"/>
      <c r="E826" s="24"/>
      <c r="F826" s="24"/>
      <c r="G826" s="24"/>
      <c r="I826" s="18"/>
      <c r="J826" s="19"/>
      <c r="M826" s="14"/>
      <c r="N826" s="14"/>
      <c r="O826" s="14"/>
    </row>
    <row r="827">
      <c r="D827" s="24"/>
      <c r="E827" s="24"/>
      <c r="F827" s="24"/>
      <c r="G827" s="24"/>
      <c r="I827" s="18"/>
      <c r="J827" s="19"/>
      <c r="M827" s="14"/>
      <c r="N827" s="14"/>
      <c r="O827" s="14"/>
    </row>
    <row r="828">
      <c r="D828" s="24"/>
      <c r="E828" s="24"/>
      <c r="F828" s="24"/>
      <c r="G828" s="24"/>
      <c r="I828" s="18"/>
      <c r="J828" s="19"/>
      <c r="M828" s="14"/>
      <c r="N828" s="14"/>
      <c r="O828" s="14"/>
    </row>
    <row r="829">
      <c r="D829" s="24"/>
      <c r="E829" s="24"/>
      <c r="F829" s="24"/>
      <c r="G829" s="24"/>
      <c r="I829" s="18"/>
      <c r="J829" s="19"/>
      <c r="M829" s="14"/>
      <c r="N829" s="14"/>
      <c r="O829" s="14"/>
    </row>
    <row r="830">
      <c r="D830" s="24"/>
      <c r="E830" s="24"/>
      <c r="F830" s="24"/>
      <c r="G830" s="24"/>
      <c r="I830" s="18"/>
      <c r="J830" s="19"/>
      <c r="M830" s="14"/>
      <c r="N830" s="14"/>
      <c r="O830" s="14"/>
    </row>
    <row r="831">
      <c r="D831" s="24"/>
      <c r="E831" s="24"/>
      <c r="F831" s="24"/>
      <c r="G831" s="24"/>
      <c r="I831" s="18"/>
      <c r="J831" s="19"/>
      <c r="M831" s="14"/>
      <c r="N831" s="14"/>
      <c r="O831" s="14"/>
    </row>
    <row r="832">
      <c r="D832" s="24"/>
      <c r="E832" s="24"/>
      <c r="F832" s="24"/>
      <c r="G832" s="24"/>
      <c r="I832" s="18"/>
      <c r="J832" s="19"/>
      <c r="M832" s="14"/>
      <c r="N832" s="14"/>
      <c r="O832" s="14"/>
    </row>
    <row r="833">
      <c r="D833" s="24"/>
      <c r="E833" s="24"/>
      <c r="F833" s="24"/>
      <c r="G833" s="24"/>
      <c r="I833" s="18"/>
      <c r="J833" s="19"/>
      <c r="M833" s="14"/>
      <c r="N833" s="14"/>
      <c r="O833" s="14"/>
    </row>
    <row r="834">
      <c r="D834" s="24"/>
      <c r="E834" s="24"/>
      <c r="F834" s="24"/>
      <c r="G834" s="24"/>
      <c r="I834" s="18"/>
      <c r="J834" s="19"/>
      <c r="M834" s="14"/>
      <c r="N834" s="14"/>
      <c r="O834" s="14"/>
    </row>
    <row r="835">
      <c r="D835" s="24"/>
      <c r="E835" s="24"/>
      <c r="F835" s="24"/>
      <c r="G835" s="24"/>
      <c r="I835" s="18"/>
      <c r="J835" s="19"/>
      <c r="M835" s="14"/>
      <c r="N835" s="14"/>
      <c r="O835" s="14"/>
    </row>
    <row r="836">
      <c r="D836" s="24"/>
      <c r="E836" s="24"/>
      <c r="F836" s="24"/>
      <c r="G836" s="24"/>
      <c r="I836" s="18"/>
      <c r="J836" s="19"/>
      <c r="M836" s="14"/>
      <c r="N836" s="14"/>
      <c r="O836" s="14"/>
    </row>
    <row r="837">
      <c r="D837" s="24"/>
      <c r="E837" s="24"/>
      <c r="F837" s="24"/>
      <c r="G837" s="24"/>
      <c r="I837" s="18"/>
      <c r="J837" s="19"/>
      <c r="M837" s="14"/>
      <c r="N837" s="14"/>
      <c r="O837" s="14"/>
    </row>
    <row r="838">
      <c r="D838" s="24"/>
      <c r="E838" s="24"/>
      <c r="F838" s="24"/>
      <c r="G838" s="24"/>
      <c r="I838" s="18"/>
      <c r="J838" s="19"/>
      <c r="M838" s="14"/>
      <c r="N838" s="14"/>
      <c r="O838" s="14"/>
    </row>
    <row r="839">
      <c r="D839" s="24"/>
      <c r="E839" s="24"/>
      <c r="F839" s="24"/>
      <c r="G839" s="24"/>
      <c r="I839" s="18"/>
      <c r="J839" s="19"/>
      <c r="M839" s="14"/>
      <c r="N839" s="14"/>
      <c r="O839" s="14"/>
    </row>
    <row r="840">
      <c r="D840" s="24"/>
      <c r="E840" s="24"/>
      <c r="F840" s="24"/>
      <c r="G840" s="24"/>
      <c r="I840" s="18"/>
      <c r="J840" s="19"/>
      <c r="M840" s="14"/>
      <c r="N840" s="14"/>
      <c r="O840" s="14"/>
    </row>
    <row r="841">
      <c r="D841" s="24"/>
      <c r="E841" s="24"/>
      <c r="F841" s="24"/>
      <c r="G841" s="24"/>
      <c r="I841" s="18"/>
      <c r="J841" s="19"/>
      <c r="M841" s="14"/>
      <c r="N841" s="14"/>
      <c r="O841" s="14"/>
    </row>
    <row r="842">
      <c r="D842" s="24"/>
      <c r="E842" s="24"/>
      <c r="F842" s="24"/>
      <c r="G842" s="24"/>
      <c r="I842" s="18"/>
      <c r="J842" s="19"/>
      <c r="M842" s="14"/>
      <c r="N842" s="14"/>
      <c r="O842" s="14"/>
    </row>
    <row r="843">
      <c r="D843" s="24"/>
      <c r="E843" s="24"/>
      <c r="F843" s="24"/>
      <c r="G843" s="24"/>
      <c r="I843" s="18"/>
      <c r="J843" s="19"/>
      <c r="M843" s="14"/>
      <c r="N843" s="14"/>
      <c r="O843" s="14"/>
    </row>
    <row r="844">
      <c r="D844" s="24"/>
      <c r="E844" s="24"/>
      <c r="F844" s="24"/>
      <c r="G844" s="24"/>
      <c r="I844" s="18"/>
      <c r="J844" s="19"/>
      <c r="M844" s="14"/>
      <c r="N844" s="14"/>
      <c r="O844" s="14"/>
    </row>
    <row r="845">
      <c r="D845" s="24"/>
      <c r="E845" s="24"/>
      <c r="F845" s="24"/>
      <c r="G845" s="24"/>
      <c r="I845" s="18"/>
      <c r="J845" s="19"/>
      <c r="M845" s="14"/>
      <c r="N845" s="14"/>
      <c r="O845" s="14"/>
    </row>
    <row r="846">
      <c r="D846" s="24"/>
      <c r="E846" s="24"/>
      <c r="F846" s="24"/>
      <c r="G846" s="24"/>
      <c r="I846" s="18"/>
      <c r="J846" s="19"/>
      <c r="M846" s="14"/>
      <c r="N846" s="14"/>
      <c r="O846" s="14"/>
    </row>
    <row r="847">
      <c r="D847" s="24"/>
      <c r="E847" s="24"/>
      <c r="F847" s="24"/>
      <c r="G847" s="24"/>
      <c r="I847" s="18"/>
      <c r="J847" s="19"/>
      <c r="M847" s="14"/>
      <c r="N847" s="14"/>
      <c r="O847" s="14"/>
    </row>
    <row r="848">
      <c r="D848" s="24"/>
      <c r="E848" s="24"/>
      <c r="F848" s="24"/>
      <c r="G848" s="24"/>
      <c r="I848" s="18"/>
      <c r="J848" s="19"/>
      <c r="M848" s="14"/>
      <c r="N848" s="14"/>
      <c r="O848" s="14"/>
    </row>
    <row r="849">
      <c r="D849" s="24"/>
      <c r="E849" s="24"/>
      <c r="F849" s="24"/>
      <c r="G849" s="24"/>
      <c r="I849" s="18"/>
      <c r="J849" s="19"/>
      <c r="M849" s="14"/>
      <c r="N849" s="14"/>
      <c r="O849" s="14"/>
    </row>
    <row r="850">
      <c r="D850" s="24"/>
      <c r="E850" s="24"/>
      <c r="F850" s="24"/>
      <c r="G850" s="24"/>
      <c r="I850" s="18"/>
      <c r="J850" s="19"/>
      <c r="M850" s="14"/>
      <c r="N850" s="14"/>
      <c r="O850" s="14"/>
    </row>
    <row r="851">
      <c r="D851" s="24"/>
      <c r="E851" s="24"/>
      <c r="F851" s="24"/>
      <c r="G851" s="24"/>
      <c r="I851" s="18"/>
      <c r="J851" s="19"/>
      <c r="M851" s="14"/>
      <c r="N851" s="14"/>
      <c r="O851" s="14"/>
    </row>
    <row r="852">
      <c r="D852" s="24"/>
      <c r="E852" s="24"/>
      <c r="F852" s="24"/>
      <c r="G852" s="24"/>
      <c r="I852" s="18"/>
      <c r="J852" s="19"/>
      <c r="M852" s="14"/>
      <c r="N852" s="14"/>
      <c r="O852" s="14"/>
    </row>
    <row r="853">
      <c r="D853" s="24"/>
      <c r="E853" s="24"/>
      <c r="F853" s="24"/>
      <c r="G853" s="24"/>
      <c r="I853" s="18"/>
      <c r="J853" s="19"/>
      <c r="M853" s="14"/>
      <c r="N853" s="14"/>
      <c r="O853" s="14"/>
    </row>
    <row r="854">
      <c r="D854" s="24"/>
      <c r="E854" s="24"/>
      <c r="F854" s="24"/>
      <c r="G854" s="24"/>
      <c r="I854" s="18"/>
      <c r="J854" s="19"/>
      <c r="M854" s="14"/>
      <c r="N854" s="14"/>
      <c r="O854" s="14"/>
    </row>
    <row r="855">
      <c r="D855" s="24"/>
      <c r="E855" s="24"/>
      <c r="F855" s="24"/>
      <c r="G855" s="24"/>
      <c r="I855" s="18"/>
      <c r="J855" s="19"/>
      <c r="M855" s="14"/>
      <c r="N855" s="14"/>
      <c r="O855" s="14"/>
    </row>
    <row r="856">
      <c r="D856" s="24"/>
      <c r="E856" s="24"/>
      <c r="F856" s="24"/>
      <c r="G856" s="24"/>
      <c r="I856" s="18"/>
      <c r="J856" s="19"/>
      <c r="M856" s="14"/>
      <c r="N856" s="14"/>
      <c r="O856" s="14"/>
    </row>
    <row r="857">
      <c r="D857" s="24"/>
      <c r="E857" s="24"/>
      <c r="F857" s="24"/>
      <c r="G857" s="24"/>
      <c r="I857" s="18"/>
      <c r="J857" s="19"/>
      <c r="M857" s="14"/>
      <c r="N857" s="14"/>
      <c r="O857" s="14"/>
    </row>
    <row r="858">
      <c r="D858" s="24"/>
      <c r="E858" s="24"/>
      <c r="F858" s="24"/>
      <c r="G858" s="24"/>
      <c r="I858" s="18"/>
      <c r="J858" s="19"/>
      <c r="M858" s="14"/>
      <c r="N858" s="14"/>
      <c r="O858" s="14"/>
    </row>
    <row r="859">
      <c r="D859" s="24"/>
      <c r="E859" s="24"/>
      <c r="F859" s="24"/>
      <c r="G859" s="24"/>
      <c r="I859" s="18"/>
      <c r="J859" s="19"/>
      <c r="M859" s="14"/>
      <c r="N859" s="14"/>
      <c r="O859" s="14"/>
    </row>
    <row r="860">
      <c r="D860" s="24"/>
      <c r="E860" s="24"/>
      <c r="F860" s="24"/>
      <c r="G860" s="24"/>
      <c r="I860" s="18"/>
      <c r="J860" s="19"/>
      <c r="M860" s="14"/>
      <c r="N860" s="14"/>
      <c r="O860" s="14"/>
    </row>
    <row r="861">
      <c r="D861" s="24"/>
      <c r="E861" s="24"/>
      <c r="F861" s="24"/>
      <c r="G861" s="24"/>
      <c r="I861" s="18"/>
      <c r="J861" s="19"/>
      <c r="M861" s="14"/>
      <c r="N861" s="14"/>
      <c r="O861" s="14"/>
    </row>
    <row r="862">
      <c r="D862" s="24"/>
      <c r="E862" s="24"/>
      <c r="F862" s="24"/>
      <c r="G862" s="24"/>
      <c r="I862" s="18"/>
      <c r="J862" s="19"/>
      <c r="M862" s="14"/>
      <c r="N862" s="14"/>
      <c r="O862" s="14"/>
    </row>
    <row r="863">
      <c r="D863" s="24"/>
      <c r="E863" s="24"/>
      <c r="F863" s="24"/>
      <c r="G863" s="24"/>
      <c r="I863" s="18"/>
      <c r="J863" s="19"/>
      <c r="M863" s="14"/>
      <c r="N863" s="14"/>
      <c r="O863" s="14"/>
    </row>
    <row r="864">
      <c r="D864" s="24"/>
      <c r="E864" s="24"/>
      <c r="F864" s="24"/>
      <c r="G864" s="24"/>
      <c r="I864" s="18"/>
      <c r="J864" s="19"/>
      <c r="M864" s="14"/>
      <c r="N864" s="14"/>
      <c r="O864" s="14"/>
    </row>
    <row r="865">
      <c r="D865" s="24"/>
      <c r="E865" s="24"/>
      <c r="F865" s="24"/>
      <c r="G865" s="24"/>
      <c r="I865" s="18"/>
      <c r="J865" s="19"/>
      <c r="M865" s="14"/>
      <c r="N865" s="14"/>
      <c r="O865" s="14"/>
    </row>
    <row r="866">
      <c r="D866" s="24"/>
      <c r="E866" s="24"/>
      <c r="F866" s="24"/>
      <c r="G866" s="24"/>
      <c r="I866" s="18"/>
      <c r="J866" s="19"/>
      <c r="M866" s="14"/>
      <c r="N866" s="14"/>
      <c r="O866" s="14"/>
    </row>
    <row r="867">
      <c r="D867" s="24"/>
      <c r="E867" s="24"/>
      <c r="F867" s="24"/>
      <c r="G867" s="24"/>
      <c r="I867" s="18"/>
      <c r="J867" s="19"/>
      <c r="M867" s="14"/>
      <c r="N867" s="14"/>
      <c r="O867" s="14"/>
    </row>
    <row r="868">
      <c r="D868" s="24"/>
      <c r="E868" s="24"/>
      <c r="F868" s="24"/>
      <c r="G868" s="24"/>
      <c r="I868" s="18"/>
      <c r="J868" s="19"/>
      <c r="M868" s="14"/>
      <c r="N868" s="14"/>
      <c r="O868" s="14"/>
    </row>
    <row r="869">
      <c r="D869" s="24"/>
      <c r="E869" s="24"/>
      <c r="F869" s="24"/>
      <c r="G869" s="24"/>
      <c r="I869" s="18"/>
      <c r="J869" s="19"/>
      <c r="M869" s="14"/>
      <c r="N869" s="14"/>
      <c r="O869" s="14"/>
    </row>
    <row r="870">
      <c r="D870" s="24"/>
      <c r="E870" s="24"/>
      <c r="F870" s="24"/>
      <c r="G870" s="24"/>
      <c r="I870" s="18"/>
      <c r="J870" s="19"/>
      <c r="M870" s="14"/>
      <c r="N870" s="14"/>
      <c r="O870" s="14"/>
    </row>
    <row r="871">
      <c r="D871" s="24"/>
      <c r="E871" s="24"/>
      <c r="F871" s="24"/>
      <c r="G871" s="24"/>
      <c r="I871" s="18"/>
      <c r="J871" s="19"/>
      <c r="M871" s="14"/>
      <c r="N871" s="14"/>
      <c r="O871" s="14"/>
    </row>
    <row r="872">
      <c r="D872" s="24"/>
      <c r="E872" s="24"/>
      <c r="F872" s="24"/>
      <c r="G872" s="24"/>
      <c r="I872" s="18"/>
      <c r="J872" s="19"/>
      <c r="M872" s="14"/>
      <c r="N872" s="14"/>
      <c r="O872" s="14"/>
    </row>
    <row r="873">
      <c r="D873" s="24"/>
      <c r="E873" s="24"/>
      <c r="F873" s="24"/>
      <c r="G873" s="24"/>
      <c r="I873" s="18"/>
      <c r="J873" s="19"/>
      <c r="M873" s="14"/>
      <c r="N873" s="14"/>
      <c r="O873" s="14"/>
    </row>
    <row r="874">
      <c r="D874" s="24"/>
      <c r="E874" s="24"/>
      <c r="F874" s="24"/>
      <c r="G874" s="24"/>
      <c r="I874" s="18"/>
      <c r="J874" s="19"/>
      <c r="M874" s="14"/>
      <c r="N874" s="14"/>
      <c r="O874" s="14"/>
    </row>
    <row r="875">
      <c r="D875" s="24"/>
      <c r="E875" s="24"/>
      <c r="F875" s="24"/>
      <c r="G875" s="24"/>
      <c r="I875" s="18"/>
      <c r="J875" s="19"/>
      <c r="M875" s="14"/>
      <c r="N875" s="14"/>
      <c r="O875" s="14"/>
    </row>
    <row r="876">
      <c r="D876" s="24"/>
      <c r="E876" s="24"/>
      <c r="F876" s="24"/>
      <c r="G876" s="24"/>
      <c r="I876" s="18"/>
      <c r="J876" s="19"/>
      <c r="M876" s="14"/>
      <c r="N876" s="14"/>
      <c r="O876" s="14"/>
    </row>
    <row r="877">
      <c r="D877" s="24"/>
      <c r="E877" s="24"/>
      <c r="F877" s="24"/>
      <c r="G877" s="24"/>
      <c r="I877" s="18"/>
      <c r="J877" s="19"/>
      <c r="M877" s="14"/>
      <c r="N877" s="14"/>
      <c r="O877" s="14"/>
    </row>
    <row r="878">
      <c r="D878" s="24"/>
      <c r="E878" s="24"/>
      <c r="F878" s="24"/>
      <c r="G878" s="24"/>
      <c r="I878" s="18"/>
      <c r="J878" s="19"/>
      <c r="M878" s="14"/>
      <c r="N878" s="14"/>
      <c r="O878" s="14"/>
    </row>
    <row r="879">
      <c r="D879" s="24"/>
      <c r="E879" s="24"/>
      <c r="F879" s="24"/>
      <c r="G879" s="24"/>
      <c r="I879" s="18"/>
      <c r="J879" s="19"/>
      <c r="M879" s="14"/>
      <c r="N879" s="14"/>
      <c r="O879" s="14"/>
    </row>
    <row r="880">
      <c r="D880" s="24"/>
      <c r="E880" s="24"/>
      <c r="F880" s="24"/>
      <c r="G880" s="24"/>
      <c r="I880" s="18"/>
      <c r="J880" s="19"/>
      <c r="M880" s="14"/>
      <c r="N880" s="14"/>
      <c r="O880" s="14"/>
    </row>
    <row r="881">
      <c r="D881" s="24"/>
      <c r="E881" s="24"/>
      <c r="F881" s="24"/>
      <c r="G881" s="24"/>
      <c r="I881" s="18"/>
      <c r="J881" s="19"/>
      <c r="M881" s="14"/>
      <c r="N881" s="14"/>
      <c r="O881" s="14"/>
    </row>
    <row r="882">
      <c r="D882" s="24"/>
      <c r="E882" s="24"/>
      <c r="F882" s="24"/>
      <c r="G882" s="24"/>
      <c r="I882" s="18"/>
      <c r="J882" s="19"/>
      <c r="M882" s="14"/>
      <c r="N882" s="14"/>
      <c r="O882" s="14"/>
    </row>
    <row r="883">
      <c r="D883" s="24"/>
      <c r="E883" s="24"/>
      <c r="F883" s="24"/>
      <c r="G883" s="24"/>
      <c r="I883" s="18"/>
      <c r="J883" s="19"/>
      <c r="M883" s="14"/>
      <c r="N883" s="14"/>
      <c r="O883" s="14"/>
    </row>
    <row r="884">
      <c r="D884" s="24"/>
      <c r="E884" s="24"/>
      <c r="F884" s="24"/>
      <c r="G884" s="24"/>
      <c r="I884" s="18"/>
      <c r="J884" s="19"/>
      <c r="M884" s="14"/>
      <c r="N884" s="14"/>
      <c r="O884" s="14"/>
    </row>
    <row r="885">
      <c r="D885" s="24"/>
      <c r="E885" s="24"/>
      <c r="F885" s="24"/>
      <c r="G885" s="24"/>
      <c r="I885" s="18"/>
      <c r="J885" s="19"/>
      <c r="M885" s="14"/>
      <c r="N885" s="14"/>
      <c r="O885" s="14"/>
    </row>
    <row r="886">
      <c r="D886" s="24"/>
      <c r="E886" s="24"/>
      <c r="F886" s="24"/>
      <c r="G886" s="24"/>
      <c r="I886" s="18"/>
      <c r="J886" s="19"/>
      <c r="M886" s="14"/>
      <c r="N886" s="14"/>
      <c r="O886" s="14"/>
    </row>
    <row r="887">
      <c r="D887" s="24"/>
      <c r="E887" s="24"/>
      <c r="F887" s="24"/>
      <c r="G887" s="24"/>
      <c r="I887" s="18"/>
      <c r="J887" s="19"/>
      <c r="M887" s="14"/>
      <c r="N887" s="14"/>
      <c r="O887" s="14"/>
    </row>
    <row r="888">
      <c r="D888" s="24"/>
      <c r="E888" s="24"/>
      <c r="F888" s="24"/>
      <c r="G888" s="24"/>
      <c r="I888" s="18"/>
      <c r="J888" s="19"/>
      <c r="M888" s="14"/>
      <c r="N888" s="14"/>
      <c r="O888" s="14"/>
    </row>
    <row r="889">
      <c r="D889" s="24"/>
      <c r="E889" s="24"/>
      <c r="F889" s="24"/>
      <c r="G889" s="24"/>
      <c r="I889" s="18"/>
      <c r="J889" s="19"/>
      <c r="M889" s="14"/>
      <c r="N889" s="14"/>
      <c r="O889" s="14"/>
    </row>
    <row r="890">
      <c r="D890" s="24"/>
      <c r="E890" s="24"/>
      <c r="F890" s="24"/>
      <c r="G890" s="24"/>
      <c r="I890" s="18"/>
      <c r="J890" s="19"/>
      <c r="M890" s="14"/>
      <c r="N890" s="14"/>
      <c r="O890" s="14"/>
    </row>
    <row r="891">
      <c r="D891" s="24"/>
      <c r="E891" s="24"/>
      <c r="F891" s="24"/>
      <c r="G891" s="24"/>
      <c r="I891" s="18"/>
      <c r="J891" s="19"/>
      <c r="M891" s="14"/>
      <c r="N891" s="14"/>
      <c r="O891" s="14"/>
    </row>
    <row r="892">
      <c r="D892" s="24"/>
      <c r="E892" s="24"/>
      <c r="F892" s="24"/>
      <c r="G892" s="24"/>
      <c r="I892" s="18"/>
      <c r="J892" s="19"/>
      <c r="M892" s="14"/>
      <c r="N892" s="14"/>
      <c r="O892" s="14"/>
    </row>
    <row r="893">
      <c r="D893" s="24"/>
      <c r="E893" s="24"/>
      <c r="F893" s="24"/>
      <c r="G893" s="24"/>
      <c r="I893" s="18"/>
      <c r="J893" s="19"/>
      <c r="M893" s="14"/>
      <c r="N893" s="14"/>
      <c r="O893" s="14"/>
    </row>
    <row r="894">
      <c r="D894" s="24"/>
      <c r="E894" s="24"/>
      <c r="F894" s="24"/>
      <c r="G894" s="24"/>
      <c r="I894" s="18"/>
      <c r="J894" s="19"/>
      <c r="M894" s="14"/>
      <c r="N894" s="14"/>
      <c r="O894" s="14"/>
    </row>
    <row r="895">
      <c r="D895" s="24"/>
      <c r="E895" s="24"/>
      <c r="F895" s="24"/>
      <c r="G895" s="24"/>
      <c r="I895" s="18"/>
      <c r="J895" s="19"/>
      <c r="M895" s="14"/>
      <c r="N895" s="14"/>
      <c r="O895" s="14"/>
    </row>
    <row r="896">
      <c r="D896" s="24"/>
      <c r="E896" s="24"/>
      <c r="F896" s="24"/>
      <c r="G896" s="24"/>
      <c r="I896" s="18"/>
      <c r="J896" s="19"/>
      <c r="M896" s="14"/>
      <c r="N896" s="14"/>
      <c r="O896" s="14"/>
    </row>
    <row r="897">
      <c r="D897" s="24"/>
      <c r="E897" s="24"/>
      <c r="F897" s="24"/>
      <c r="G897" s="24"/>
      <c r="I897" s="18"/>
      <c r="J897" s="19"/>
      <c r="M897" s="14"/>
      <c r="N897" s="14"/>
      <c r="O897" s="14"/>
    </row>
    <row r="898">
      <c r="D898" s="24"/>
      <c r="E898" s="24"/>
      <c r="F898" s="24"/>
      <c r="G898" s="24"/>
      <c r="I898" s="18"/>
      <c r="J898" s="19"/>
      <c r="M898" s="14"/>
      <c r="N898" s="14"/>
      <c r="O898" s="14"/>
    </row>
    <row r="899">
      <c r="D899" s="24"/>
      <c r="E899" s="24"/>
      <c r="F899" s="24"/>
      <c r="G899" s="24"/>
      <c r="I899" s="18"/>
      <c r="J899" s="19"/>
      <c r="M899" s="14"/>
      <c r="N899" s="14"/>
      <c r="O899" s="14"/>
    </row>
    <row r="900">
      <c r="D900" s="24"/>
      <c r="E900" s="24"/>
      <c r="F900" s="24"/>
      <c r="G900" s="24"/>
      <c r="I900" s="18"/>
      <c r="J900" s="19"/>
      <c r="M900" s="14"/>
      <c r="N900" s="14"/>
      <c r="O900" s="14"/>
    </row>
    <row r="901">
      <c r="D901" s="24"/>
      <c r="E901" s="24"/>
      <c r="F901" s="24"/>
      <c r="G901" s="24"/>
      <c r="I901" s="18"/>
      <c r="J901" s="19"/>
      <c r="M901" s="14"/>
      <c r="N901" s="14"/>
      <c r="O901" s="14"/>
    </row>
    <row r="902">
      <c r="D902" s="24"/>
      <c r="E902" s="24"/>
      <c r="F902" s="24"/>
      <c r="G902" s="24"/>
      <c r="I902" s="18"/>
      <c r="J902" s="19"/>
      <c r="M902" s="14"/>
      <c r="N902" s="14"/>
      <c r="O902" s="14"/>
    </row>
    <row r="903">
      <c r="D903" s="24"/>
      <c r="E903" s="24"/>
      <c r="F903" s="24"/>
      <c r="G903" s="24"/>
      <c r="I903" s="18"/>
      <c r="J903" s="19"/>
      <c r="M903" s="14"/>
      <c r="N903" s="14"/>
      <c r="O903" s="14"/>
    </row>
    <row r="904">
      <c r="D904" s="24"/>
      <c r="E904" s="24"/>
      <c r="F904" s="24"/>
      <c r="G904" s="24"/>
      <c r="I904" s="18"/>
      <c r="J904" s="19"/>
      <c r="M904" s="14"/>
      <c r="N904" s="14"/>
      <c r="O904" s="14"/>
    </row>
    <row r="905">
      <c r="D905" s="24"/>
      <c r="E905" s="24"/>
      <c r="F905" s="24"/>
      <c r="G905" s="24"/>
      <c r="I905" s="18"/>
      <c r="J905" s="19"/>
      <c r="M905" s="14"/>
      <c r="N905" s="14"/>
      <c r="O905" s="14"/>
    </row>
    <row r="906">
      <c r="D906" s="24"/>
      <c r="E906" s="24"/>
      <c r="F906" s="24"/>
      <c r="G906" s="24"/>
      <c r="I906" s="18"/>
      <c r="J906" s="19"/>
      <c r="M906" s="14"/>
      <c r="N906" s="14"/>
      <c r="O906" s="14"/>
    </row>
    <row r="907">
      <c r="D907" s="24"/>
      <c r="E907" s="24"/>
      <c r="F907" s="24"/>
      <c r="G907" s="24"/>
      <c r="I907" s="18"/>
      <c r="J907" s="19"/>
      <c r="M907" s="14"/>
      <c r="N907" s="14"/>
      <c r="O907" s="14"/>
    </row>
    <row r="908">
      <c r="D908" s="24"/>
      <c r="E908" s="24"/>
      <c r="F908" s="24"/>
      <c r="G908" s="24"/>
      <c r="I908" s="18"/>
      <c r="J908" s="19"/>
      <c r="M908" s="14"/>
      <c r="N908" s="14"/>
      <c r="O908" s="14"/>
    </row>
    <row r="909">
      <c r="D909" s="24"/>
      <c r="E909" s="24"/>
      <c r="F909" s="24"/>
      <c r="G909" s="24"/>
      <c r="I909" s="18"/>
      <c r="J909" s="19"/>
      <c r="M909" s="14"/>
      <c r="N909" s="14"/>
      <c r="O909" s="14"/>
    </row>
    <row r="910">
      <c r="D910" s="24"/>
      <c r="E910" s="24"/>
      <c r="F910" s="24"/>
      <c r="G910" s="24"/>
      <c r="I910" s="18"/>
      <c r="J910" s="19"/>
      <c r="M910" s="14"/>
      <c r="N910" s="14"/>
      <c r="O910" s="14"/>
    </row>
    <row r="911">
      <c r="D911" s="24"/>
      <c r="E911" s="24"/>
      <c r="F911" s="24"/>
      <c r="G911" s="24"/>
      <c r="I911" s="18"/>
      <c r="J911" s="19"/>
      <c r="M911" s="14"/>
      <c r="N911" s="14"/>
      <c r="O911" s="14"/>
    </row>
    <row r="912">
      <c r="D912" s="24"/>
      <c r="E912" s="24"/>
      <c r="F912" s="24"/>
      <c r="G912" s="24"/>
      <c r="I912" s="18"/>
      <c r="J912" s="19"/>
      <c r="M912" s="14"/>
      <c r="N912" s="14"/>
      <c r="O912" s="14"/>
    </row>
    <row r="913">
      <c r="D913" s="24"/>
      <c r="E913" s="24"/>
      <c r="F913" s="24"/>
      <c r="G913" s="24"/>
      <c r="I913" s="18"/>
      <c r="J913" s="19"/>
      <c r="M913" s="14"/>
      <c r="N913" s="14"/>
      <c r="O913" s="14"/>
    </row>
    <row r="914">
      <c r="D914" s="24"/>
      <c r="E914" s="24"/>
      <c r="F914" s="24"/>
      <c r="G914" s="24"/>
      <c r="I914" s="18"/>
      <c r="J914" s="19"/>
      <c r="M914" s="14"/>
      <c r="N914" s="14"/>
      <c r="O914" s="14"/>
    </row>
    <row r="915">
      <c r="D915" s="24"/>
      <c r="E915" s="24"/>
      <c r="F915" s="24"/>
      <c r="G915" s="24"/>
      <c r="I915" s="18"/>
      <c r="J915" s="19"/>
      <c r="M915" s="14"/>
      <c r="N915" s="14"/>
      <c r="O915" s="14"/>
    </row>
    <row r="916">
      <c r="D916" s="24"/>
      <c r="E916" s="24"/>
      <c r="F916" s="24"/>
      <c r="G916" s="24"/>
      <c r="I916" s="18"/>
      <c r="J916" s="19"/>
      <c r="M916" s="14"/>
      <c r="N916" s="14"/>
      <c r="O916" s="14"/>
    </row>
    <row r="917">
      <c r="D917" s="24"/>
      <c r="E917" s="24"/>
      <c r="F917" s="24"/>
      <c r="G917" s="24"/>
      <c r="I917" s="18"/>
      <c r="J917" s="19"/>
      <c r="M917" s="14"/>
      <c r="N917" s="14"/>
      <c r="O917" s="14"/>
    </row>
    <row r="918">
      <c r="D918" s="24"/>
      <c r="E918" s="24"/>
      <c r="F918" s="24"/>
      <c r="G918" s="24"/>
      <c r="I918" s="18"/>
      <c r="J918" s="19"/>
      <c r="M918" s="14"/>
      <c r="N918" s="14"/>
      <c r="O918" s="14"/>
    </row>
    <row r="919">
      <c r="D919" s="24"/>
      <c r="E919" s="24"/>
      <c r="F919" s="24"/>
      <c r="G919" s="24"/>
      <c r="I919" s="18"/>
      <c r="J919" s="19"/>
      <c r="M919" s="14"/>
      <c r="N919" s="14"/>
      <c r="O919" s="14"/>
    </row>
    <row r="920">
      <c r="D920" s="24"/>
      <c r="E920" s="24"/>
      <c r="F920" s="24"/>
      <c r="G920" s="24"/>
      <c r="I920" s="18"/>
      <c r="J920" s="19"/>
      <c r="M920" s="14"/>
      <c r="N920" s="14"/>
      <c r="O920" s="14"/>
    </row>
    <row r="921">
      <c r="D921" s="24"/>
      <c r="E921" s="24"/>
      <c r="F921" s="24"/>
      <c r="G921" s="24"/>
      <c r="I921" s="18"/>
      <c r="J921" s="19"/>
      <c r="M921" s="14"/>
      <c r="N921" s="14"/>
      <c r="O921" s="14"/>
    </row>
    <row r="922">
      <c r="D922" s="24"/>
      <c r="E922" s="24"/>
      <c r="F922" s="24"/>
      <c r="G922" s="24"/>
      <c r="I922" s="18"/>
      <c r="J922" s="19"/>
      <c r="M922" s="14"/>
      <c r="N922" s="14"/>
      <c r="O922" s="14"/>
    </row>
    <row r="923">
      <c r="D923" s="24"/>
      <c r="E923" s="24"/>
      <c r="F923" s="24"/>
      <c r="G923" s="24"/>
      <c r="I923" s="18"/>
      <c r="J923" s="19"/>
      <c r="M923" s="14"/>
      <c r="N923" s="14"/>
      <c r="O923" s="14"/>
    </row>
    <row r="924">
      <c r="D924" s="24"/>
      <c r="E924" s="24"/>
      <c r="F924" s="24"/>
      <c r="G924" s="24"/>
      <c r="I924" s="18"/>
      <c r="J924" s="19"/>
      <c r="M924" s="14"/>
      <c r="N924" s="14"/>
      <c r="O924" s="14"/>
    </row>
    <row r="925">
      <c r="D925" s="24"/>
      <c r="E925" s="24"/>
      <c r="F925" s="24"/>
      <c r="G925" s="24"/>
      <c r="I925" s="18"/>
      <c r="J925" s="19"/>
      <c r="M925" s="14"/>
      <c r="N925" s="14"/>
      <c r="O925" s="14"/>
    </row>
    <row r="926">
      <c r="D926" s="24"/>
      <c r="E926" s="24"/>
      <c r="F926" s="24"/>
      <c r="G926" s="24"/>
      <c r="I926" s="18"/>
      <c r="J926" s="19"/>
      <c r="M926" s="14"/>
      <c r="N926" s="14"/>
      <c r="O926" s="14"/>
    </row>
    <row r="927">
      <c r="D927" s="24"/>
      <c r="E927" s="24"/>
      <c r="F927" s="24"/>
      <c r="G927" s="24"/>
      <c r="I927" s="18"/>
      <c r="J927" s="19"/>
      <c r="M927" s="14"/>
      <c r="N927" s="14"/>
      <c r="O927" s="14"/>
    </row>
    <row r="928">
      <c r="D928" s="24"/>
      <c r="E928" s="24"/>
      <c r="F928" s="24"/>
      <c r="G928" s="24"/>
      <c r="I928" s="18"/>
      <c r="J928" s="19"/>
      <c r="M928" s="14"/>
      <c r="N928" s="14"/>
      <c r="O928" s="14"/>
    </row>
    <row r="929">
      <c r="D929" s="24"/>
      <c r="E929" s="24"/>
      <c r="F929" s="24"/>
      <c r="G929" s="24"/>
      <c r="I929" s="18"/>
      <c r="J929" s="19"/>
      <c r="M929" s="14"/>
      <c r="N929" s="14"/>
      <c r="O929" s="14"/>
    </row>
    <row r="930">
      <c r="D930" s="24"/>
      <c r="E930" s="24"/>
      <c r="F930" s="24"/>
      <c r="G930" s="24"/>
      <c r="I930" s="18"/>
      <c r="J930" s="19"/>
      <c r="M930" s="14"/>
      <c r="N930" s="14"/>
      <c r="O930" s="14"/>
    </row>
    <row r="931">
      <c r="D931" s="24"/>
      <c r="E931" s="24"/>
      <c r="F931" s="24"/>
      <c r="G931" s="24"/>
      <c r="I931" s="18"/>
      <c r="J931" s="19"/>
      <c r="M931" s="14"/>
      <c r="N931" s="14"/>
      <c r="O931" s="14"/>
    </row>
    <row r="932">
      <c r="D932" s="24"/>
      <c r="E932" s="24"/>
      <c r="F932" s="24"/>
      <c r="G932" s="24"/>
      <c r="I932" s="18"/>
      <c r="J932" s="19"/>
      <c r="M932" s="14"/>
      <c r="N932" s="14"/>
      <c r="O932" s="14"/>
    </row>
    <row r="933">
      <c r="D933" s="24"/>
      <c r="E933" s="24"/>
      <c r="F933" s="24"/>
      <c r="G933" s="24"/>
      <c r="I933" s="18"/>
      <c r="J933" s="19"/>
      <c r="M933" s="14"/>
      <c r="N933" s="14"/>
      <c r="O933" s="14"/>
    </row>
    <row r="934">
      <c r="D934" s="24"/>
      <c r="E934" s="24"/>
      <c r="F934" s="24"/>
      <c r="G934" s="24"/>
      <c r="I934" s="18"/>
      <c r="J934" s="19"/>
      <c r="M934" s="14"/>
      <c r="N934" s="14"/>
      <c r="O934" s="14"/>
    </row>
    <row r="935">
      <c r="D935" s="24"/>
      <c r="E935" s="24"/>
      <c r="F935" s="24"/>
      <c r="G935" s="24"/>
      <c r="I935" s="18"/>
      <c r="J935" s="19"/>
      <c r="M935" s="14"/>
      <c r="N935" s="14"/>
      <c r="O935" s="14"/>
    </row>
    <row r="936">
      <c r="D936" s="24"/>
      <c r="E936" s="24"/>
      <c r="F936" s="24"/>
      <c r="G936" s="24"/>
      <c r="I936" s="18"/>
      <c r="J936" s="19"/>
      <c r="M936" s="14"/>
      <c r="N936" s="14"/>
      <c r="O936" s="14"/>
    </row>
    <row r="937">
      <c r="D937" s="24"/>
      <c r="E937" s="24"/>
      <c r="F937" s="24"/>
      <c r="G937" s="24"/>
      <c r="I937" s="18"/>
      <c r="J937" s="19"/>
      <c r="M937" s="14"/>
      <c r="N937" s="14"/>
      <c r="O937" s="14"/>
    </row>
    <row r="938">
      <c r="D938" s="24"/>
      <c r="E938" s="24"/>
      <c r="F938" s="24"/>
      <c r="G938" s="24"/>
      <c r="I938" s="18"/>
      <c r="J938" s="19"/>
      <c r="M938" s="14"/>
      <c r="N938" s="14"/>
      <c r="O938" s="14"/>
    </row>
    <row r="939">
      <c r="D939" s="24"/>
      <c r="E939" s="24"/>
      <c r="F939" s="24"/>
      <c r="G939" s="24"/>
      <c r="I939" s="18"/>
      <c r="J939" s="19"/>
      <c r="M939" s="14"/>
      <c r="N939" s="14"/>
      <c r="O939" s="14"/>
    </row>
    <row r="940">
      <c r="D940" s="24"/>
      <c r="E940" s="24"/>
      <c r="F940" s="24"/>
      <c r="G940" s="24"/>
      <c r="I940" s="18"/>
      <c r="J940" s="19"/>
      <c r="M940" s="14"/>
      <c r="N940" s="14"/>
      <c r="O940" s="14"/>
    </row>
    <row r="941">
      <c r="D941" s="24"/>
      <c r="E941" s="24"/>
      <c r="F941" s="24"/>
      <c r="G941" s="24"/>
      <c r="I941" s="18"/>
      <c r="J941" s="19"/>
      <c r="M941" s="14"/>
      <c r="N941" s="14"/>
      <c r="O941" s="14"/>
    </row>
    <row r="942">
      <c r="D942" s="24"/>
      <c r="E942" s="24"/>
      <c r="F942" s="24"/>
      <c r="G942" s="24"/>
      <c r="I942" s="18"/>
      <c r="J942" s="19"/>
      <c r="M942" s="14"/>
      <c r="N942" s="14"/>
      <c r="O942" s="14"/>
    </row>
    <row r="943">
      <c r="D943" s="24"/>
      <c r="E943" s="24"/>
      <c r="F943" s="24"/>
      <c r="G943" s="24"/>
      <c r="I943" s="18"/>
      <c r="J943" s="19"/>
      <c r="M943" s="14"/>
      <c r="N943" s="14"/>
      <c r="O943" s="14"/>
    </row>
    <row r="944">
      <c r="D944" s="24"/>
      <c r="E944" s="24"/>
      <c r="F944" s="24"/>
      <c r="G944" s="24"/>
      <c r="I944" s="18"/>
      <c r="J944" s="19"/>
      <c r="M944" s="14"/>
      <c r="N944" s="14"/>
      <c r="O944" s="14"/>
    </row>
    <row r="945">
      <c r="D945" s="24"/>
      <c r="E945" s="24"/>
      <c r="F945" s="24"/>
      <c r="G945" s="24"/>
      <c r="I945" s="18"/>
      <c r="J945" s="19"/>
      <c r="M945" s="14"/>
      <c r="N945" s="14"/>
      <c r="O945" s="14"/>
    </row>
    <row r="946">
      <c r="D946" s="24"/>
      <c r="E946" s="24"/>
      <c r="F946" s="24"/>
      <c r="G946" s="24"/>
      <c r="I946" s="18"/>
      <c r="J946" s="19"/>
      <c r="M946" s="14"/>
      <c r="N946" s="14"/>
      <c r="O946" s="14"/>
    </row>
    <row r="947">
      <c r="D947" s="24"/>
      <c r="E947" s="24"/>
      <c r="F947" s="24"/>
      <c r="G947" s="24"/>
      <c r="I947" s="18"/>
      <c r="J947" s="19"/>
      <c r="M947" s="14"/>
      <c r="N947" s="14"/>
      <c r="O947" s="14"/>
    </row>
    <row r="948">
      <c r="D948" s="24"/>
      <c r="E948" s="24"/>
      <c r="F948" s="24"/>
      <c r="G948" s="24"/>
      <c r="I948" s="18"/>
      <c r="J948" s="19"/>
      <c r="M948" s="14"/>
      <c r="N948" s="14"/>
      <c r="O948" s="14"/>
    </row>
    <row r="949">
      <c r="D949" s="24"/>
      <c r="E949" s="24"/>
      <c r="F949" s="24"/>
      <c r="G949" s="24"/>
      <c r="I949" s="18"/>
      <c r="J949" s="19"/>
      <c r="M949" s="14"/>
      <c r="N949" s="14"/>
      <c r="O949" s="14"/>
    </row>
    <row r="950">
      <c r="D950" s="24"/>
      <c r="E950" s="24"/>
      <c r="F950" s="24"/>
      <c r="G950" s="24"/>
      <c r="I950" s="18"/>
      <c r="J950" s="19"/>
      <c r="M950" s="14"/>
      <c r="N950" s="14"/>
      <c r="O950" s="14"/>
    </row>
    <row r="951">
      <c r="D951" s="24"/>
      <c r="E951" s="24"/>
      <c r="F951" s="24"/>
      <c r="G951" s="24"/>
      <c r="I951" s="18"/>
      <c r="J951" s="19"/>
      <c r="M951" s="14"/>
      <c r="N951" s="14"/>
      <c r="O951" s="14"/>
    </row>
    <row r="952">
      <c r="D952" s="24"/>
      <c r="E952" s="24"/>
      <c r="F952" s="24"/>
      <c r="G952" s="24"/>
      <c r="I952" s="18"/>
      <c r="J952" s="19"/>
      <c r="M952" s="14"/>
      <c r="N952" s="14"/>
      <c r="O952" s="14"/>
    </row>
    <row r="953">
      <c r="D953" s="24"/>
      <c r="E953" s="24"/>
      <c r="F953" s="24"/>
      <c r="G953" s="24"/>
      <c r="I953" s="18"/>
      <c r="J953" s="19"/>
      <c r="M953" s="14"/>
      <c r="N953" s="14"/>
      <c r="O953" s="14"/>
    </row>
    <row r="954">
      <c r="D954" s="24"/>
      <c r="E954" s="24"/>
      <c r="F954" s="24"/>
      <c r="G954" s="24"/>
      <c r="I954" s="18"/>
      <c r="J954" s="19"/>
      <c r="M954" s="14"/>
      <c r="N954" s="14"/>
      <c r="O954" s="14"/>
    </row>
    <row r="955">
      <c r="D955" s="24"/>
      <c r="E955" s="24"/>
      <c r="F955" s="24"/>
      <c r="G955" s="24"/>
      <c r="I955" s="18"/>
      <c r="J955" s="19"/>
      <c r="M955" s="14"/>
      <c r="N955" s="14"/>
      <c r="O955" s="14"/>
    </row>
    <row r="956">
      <c r="D956" s="24"/>
      <c r="E956" s="24"/>
      <c r="F956" s="24"/>
      <c r="G956" s="24"/>
      <c r="I956" s="18"/>
      <c r="J956" s="19"/>
      <c r="M956" s="14"/>
      <c r="N956" s="14"/>
      <c r="O956" s="14"/>
    </row>
    <row r="957">
      <c r="D957" s="24"/>
      <c r="E957" s="24"/>
      <c r="F957" s="24"/>
      <c r="G957" s="24"/>
      <c r="I957" s="18"/>
      <c r="J957" s="19"/>
      <c r="M957" s="14"/>
      <c r="N957" s="14"/>
      <c r="O957" s="14"/>
    </row>
    <row r="958">
      <c r="D958" s="24"/>
      <c r="E958" s="24"/>
      <c r="F958" s="24"/>
      <c r="G958" s="24"/>
      <c r="I958" s="18"/>
      <c r="J958" s="19"/>
      <c r="M958" s="14"/>
      <c r="N958" s="14"/>
      <c r="O958" s="14"/>
    </row>
    <row r="959">
      <c r="D959" s="24"/>
      <c r="E959" s="24"/>
      <c r="F959" s="24"/>
      <c r="G959" s="24"/>
      <c r="I959" s="18"/>
      <c r="J959" s="19"/>
      <c r="M959" s="14"/>
      <c r="N959" s="14"/>
      <c r="O959" s="14"/>
    </row>
    <row r="960">
      <c r="D960" s="24"/>
      <c r="E960" s="24"/>
      <c r="F960" s="24"/>
      <c r="G960" s="24"/>
      <c r="I960" s="18"/>
      <c r="J960" s="19"/>
      <c r="M960" s="14"/>
      <c r="N960" s="14"/>
      <c r="O960" s="14"/>
    </row>
    <row r="961">
      <c r="D961" s="24"/>
      <c r="E961" s="24"/>
      <c r="F961" s="24"/>
      <c r="G961" s="24"/>
      <c r="I961" s="18"/>
      <c r="J961" s="19"/>
      <c r="M961" s="14"/>
      <c r="N961" s="14"/>
      <c r="O961" s="14"/>
    </row>
    <row r="962">
      <c r="D962" s="24"/>
      <c r="E962" s="24"/>
      <c r="F962" s="24"/>
      <c r="G962" s="24"/>
      <c r="I962" s="18"/>
      <c r="J962" s="19"/>
      <c r="M962" s="14"/>
      <c r="N962" s="14"/>
      <c r="O962" s="14"/>
    </row>
    <row r="963">
      <c r="D963" s="24"/>
      <c r="E963" s="24"/>
      <c r="F963" s="24"/>
      <c r="G963" s="24"/>
      <c r="I963" s="18"/>
      <c r="J963" s="19"/>
      <c r="M963" s="14"/>
      <c r="N963" s="14"/>
      <c r="O963" s="14"/>
    </row>
    <row r="964">
      <c r="D964" s="24"/>
      <c r="E964" s="24"/>
      <c r="F964" s="24"/>
      <c r="G964" s="24"/>
      <c r="I964" s="18"/>
      <c r="J964" s="19"/>
      <c r="M964" s="14"/>
      <c r="N964" s="14"/>
      <c r="O964" s="14"/>
    </row>
    <row r="965">
      <c r="D965" s="24"/>
      <c r="E965" s="24"/>
      <c r="F965" s="24"/>
      <c r="G965" s="24"/>
      <c r="I965" s="18"/>
      <c r="J965" s="19"/>
      <c r="M965" s="14"/>
      <c r="N965" s="14"/>
      <c r="O965" s="14"/>
    </row>
    <row r="966">
      <c r="D966" s="24"/>
      <c r="E966" s="24"/>
      <c r="F966" s="24"/>
      <c r="G966" s="24"/>
      <c r="I966" s="18"/>
      <c r="J966" s="19"/>
      <c r="M966" s="14"/>
      <c r="N966" s="14"/>
      <c r="O966" s="14"/>
    </row>
    <row r="967">
      <c r="D967" s="24"/>
      <c r="E967" s="24"/>
      <c r="F967" s="24"/>
      <c r="G967" s="24"/>
      <c r="I967" s="18"/>
      <c r="J967" s="19"/>
      <c r="M967" s="14"/>
      <c r="N967" s="14"/>
      <c r="O967" s="14"/>
    </row>
    <row r="968">
      <c r="D968" s="24"/>
      <c r="E968" s="24"/>
      <c r="F968" s="24"/>
      <c r="G968" s="24"/>
      <c r="I968" s="18"/>
      <c r="J968" s="19"/>
      <c r="M968" s="14"/>
      <c r="N968" s="14"/>
      <c r="O968" s="14"/>
    </row>
    <row r="969">
      <c r="D969" s="24"/>
      <c r="E969" s="24"/>
      <c r="F969" s="24"/>
      <c r="G969" s="24"/>
      <c r="I969" s="18"/>
      <c r="J969" s="19"/>
      <c r="M969" s="14"/>
      <c r="N969" s="14"/>
      <c r="O969" s="14"/>
    </row>
    <row r="970">
      <c r="D970" s="24"/>
      <c r="E970" s="24"/>
      <c r="F970" s="24"/>
      <c r="G970" s="24"/>
      <c r="I970" s="18"/>
      <c r="J970" s="19"/>
      <c r="M970" s="14"/>
      <c r="N970" s="14"/>
      <c r="O970" s="14"/>
    </row>
    <row r="971">
      <c r="D971" s="24"/>
      <c r="E971" s="24"/>
      <c r="F971" s="24"/>
      <c r="G971" s="24"/>
      <c r="I971" s="18"/>
      <c r="J971" s="19"/>
      <c r="M971" s="14"/>
      <c r="N971" s="14"/>
      <c r="O971" s="14"/>
    </row>
    <row r="972">
      <c r="D972" s="24"/>
      <c r="E972" s="24"/>
      <c r="F972" s="24"/>
      <c r="G972" s="24"/>
      <c r="I972" s="18"/>
      <c r="J972" s="19"/>
      <c r="M972" s="14"/>
      <c r="N972" s="14"/>
      <c r="O972" s="14"/>
    </row>
    <row r="973">
      <c r="D973" s="24"/>
      <c r="E973" s="24"/>
      <c r="F973" s="24"/>
      <c r="G973" s="24"/>
      <c r="I973" s="18"/>
      <c r="J973" s="19"/>
      <c r="M973" s="14"/>
      <c r="N973" s="14"/>
      <c r="O973" s="14"/>
    </row>
    <row r="974">
      <c r="D974" s="24"/>
      <c r="E974" s="24"/>
      <c r="F974" s="24"/>
      <c r="G974" s="24"/>
      <c r="I974" s="18"/>
      <c r="J974" s="19"/>
      <c r="M974" s="14"/>
      <c r="N974" s="14"/>
      <c r="O974" s="14"/>
    </row>
    <row r="975">
      <c r="D975" s="24"/>
      <c r="E975" s="24"/>
      <c r="F975" s="24"/>
      <c r="G975" s="24"/>
      <c r="I975" s="18"/>
      <c r="J975" s="19"/>
      <c r="M975" s="14"/>
      <c r="N975" s="14"/>
      <c r="O975" s="14"/>
    </row>
    <row r="976">
      <c r="D976" s="24"/>
      <c r="E976" s="24"/>
      <c r="F976" s="24"/>
      <c r="G976" s="24"/>
      <c r="I976" s="18"/>
      <c r="J976" s="19"/>
      <c r="M976" s="14"/>
      <c r="N976" s="14"/>
      <c r="O976" s="14"/>
    </row>
    <row r="977">
      <c r="D977" s="24"/>
      <c r="E977" s="24"/>
      <c r="F977" s="24"/>
      <c r="G977" s="24"/>
      <c r="I977" s="18"/>
      <c r="J977" s="19"/>
      <c r="M977" s="14"/>
      <c r="N977" s="14"/>
      <c r="O977" s="14"/>
    </row>
    <row r="978">
      <c r="D978" s="24"/>
      <c r="E978" s="24"/>
      <c r="F978" s="24"/>
      <c r="G978" s="24"/>
      <c r="I978" s="18"/>
      <c r="J978" s="19"/>
      <c r="M978" s="14"/>
      <c r="N978" s="14"/>
      <c r="O978" s="14"/>
    </row>
    <row r="979">
      <c r="D979" s="24"/>
      <c r="E979" s="24"/>
      <c r="F979" s="24"/>
      <c r="G979" s="24"/>
      <c r="I979" s="18"/>
      <c r="J979" s="19"/>
      <c r="M979" s="14"/>
      <c r="N979" s="14"/>
      <c r="O979" s="14"/>
    </row>
    <row r="980">
      <c r="D980" s="24"/>
      <c r="E980" s="24"/>
      <c r="F980" s="24"/>
      <c r="G980" s="24"/>
      <c r="I980" s="18"/>
      <c r="J980" s="19"/>
      <c r="M980" s="14"/>
      <c r="N980" s="14"/>
      <c r="O980" s="14"/>
    </row>
    <row r="981">
      <c r="D981" s="24"/>
      <c r="E981" s="24"/>
      <c r="F981" s="24"/>
      <c r="G981" s="24"/>
      <c r="I981" s="18"/>
      <c r="J981" s="19"/>
      <c r="M981" s="14"/>
      <c r="N981" s="14"/>
      <c r="O981" s="14"/>
    </row>
    <row r="982">
      <c r="D982" s="24"/>
      <c r="E982" s="24"/>
      <c r="F982" s="24"/>
      <c r="G982" s="24"/>
      <c r="I982" s="18"/>
      <c r="J982" s="19"/>
      <c r="M982" s="14"/>
      <c r="N982" s="14"/>
      <c r="O982" s="14"/>
    </row>
    <row r="983">
      <c r="D983" s="24"/>
      <c r="E983" s="24"/>
      <c r="F983" s="24"/>
      <c r="G983" s="24"/>
      <c r="I983" s="18"/>
      <c r="J983" s="19"/>
      <c r="M983" s="14"/>
      <c r="N983" s="14"/>
      <c r="O983" s="14"/>
    </row>
    <row r="984">
      <c r="D984" s="24"/>
      <c r="E984" s="24"/>
      <c r="F984" s="24"/>
      <c r="G984" s="24"/>
      <c r="I984" s="18"/>
      <c r="J984" s="19"/>
      <c r="M984" s="14"/>
      <c r="N984" s="14"/>
      <c r="O984" s="14"/>
    </row>
    <row r="985">
      <c r="D985" s="24"/>
      <c r="E985" s="24"/>
      <c r="F985" s="24"/>
      <c r="G985" s="24"/>
      <c r="I985" s="18"/>
      <c r="J985" s="19"/>
      <c r="M985" s="14"/>
      <c r="N985" s="14"/>
      <c r="O985" s="14"/>
    </row>
    <row r="986">
      <c r="D986" s="24"/>
      <c r="E986" s="24"/>
      <c r="F986" s="24"/>
      <c r="G986" s="24"/>
      <c r="I986" s="18"/>
      <c r="J986" s="19"/>
      <c r="M986" s="14"/>
      <c r="N986" s="14"/>
      <c r="O986" s="14"/>
    </row>
    <row r="987">
      <c r="D987" s="24"/>
      <c r="E987" s="24"/>
      <c r="F987" s="24"/>
      <c r="G987" s="24"/>
      <c r="I987" s="18"/>
      <c r="J987" s="19"/>
      <c r="M987" s="14"/>
      <c r="N987" s="14"/>
      <c r="O987" s="14"/>
    </row>
    <row r="988">
      <c r="D988" s="24"/>
      <c r="E988" s="24"/>
      <c r="F988" s="24"/>
      <c r="G988" s="24"/>
      <c r="I988" s="18"/>
      <c r="J988" s="19"/>
      <c r="M988" s="14"/>
      <c r="N988" s="14"/>
      <c r="O988" s="14"/>
    </row>
    <row r="989">
      <c r="D989" s="24"/>
      <c r="E989" s="24"/>
      <c r="F989" s="24"/>
      <c r="G989" s="24"/>
      <c r="I989" s="18"/>
      <c r="J989" s="19"/>
      <c r="M989" s="14"/>
      <c r="N989" s="14"/>
      <c r="O989" s="14"/>
    </row>
    <row r="990">
      <c r="D990" s="24"/>
      <c r="E990" s="24"/>
      <c r="F990" s="24"/>
      <c r="G990" s="24"/>
      <c r="I990" s="18"/>
      <c r="J990" s="19"/>
      <c r="M990" s="14"/>
      <c r="N990" s="14"/>
      <c r="O990" s="14"/>
    </row>
    <row r="991">
      <c r="D991" s="24"/>
      <c r="E991" s="24"/>
      <c r="F991" s="24"/>
      <c r="G991" s="24"/>
      <c r="I991" s="18"/>
      <c r="J991" s="19"/>
      <c r="M991" s="14"/>
      <c r="N991" s="14"/>
      <c r="O991" s="14"/>
    </row>
    <row r="992">
      <c r="D992" s="24"/>
      <c r="E992" s="24"/>
      <c r="F992" s="24"/>
      <c r="G992" s="24"/>
      <c r="I992" s="18"/>
      <c r="J992" s="19"/>
      <c r="M992" s="14"/>
      <c r="N992" s="14"/>
      <c r="O992" s="14"/>
    </row>
    <row r="993">
      <c r="D993" s="24"/>
      <c r="E993" s="24"/>
      <c r="F993" s="24"/>
      <c r="G993" s="24"/>
      <c r="I993" s="18"/>
      <c r="J993" s="19"/>
      <c r="M993" s="14"/>
      <c r="N993" s="14"/>
      <c r="O993" s="14"/>
    </row>
    <row r="994">
      <c r="D994" s="24"/>
      <c r="E994" s="24"/>
      <c r="F994" s="24"/>
      <c r="G994" s="24"/>
      <c r="I994" s="18"/>
      <c r="J994" s="19"/>
      <c r="M994" s="14"/>
      <c r="N994" s="14"/>
      <c r="O994" s="14"/>
    </row>
    <row r="995">
      <c r="D995" s="24"/>
      <c r="E995" s="24"/>
      <c r="F995" s="24"/>
      <c r="G995" s="24"/>
      <c r="I995" s="18"/>
      <c r="J995" s="19"/>
      <c r="M995" s="14"/>
      <c r="N995" s="14"/>
      <c r="O995" s="14"/>
    </row>
    <row r="996">
      <c r="D996" s="24"/>
      <c r="E996" s="24"/>
      <c r="F996" s="24"/>
      <c r="G996" s="24"/>
      <c r="I996" s="18"/>
      <c r="J996" s="19"/>
      <c r="M996" s="14"/>
      <c r="N996" s="14"/>
      <c r="O996" s="14"/>
    </row>
    <row r="997">
      <c r="D997" s="24"/>
      <c r="E997" s="24"/>
      <c r="F997" s="24"/>
      <c r="G997" s="24"/>
      <c r="I997" s="18"/>
      <c r="J997" s="19"/>
      <c r="M997" s="14"/>
      <c r="N997" s="14"/>
      <c r="O997" s="14"/>
    </row>
    <row r="998">
      <c r="D998" s="24"/>
      <c r="E998" s="24"/>
      <c r="F998" s="24"/>
      <c r="G998" s="24"/>
      <c r="I998" s="18"/>
      <c r="J998" s="19"/>
      <c r="M998" s="14"/>
      <c r="N998" s="14"/>
      <c r="O998" s="14"/>
    </row>
    <row r="999">
      <c r="D999" s="24"/>
      <c r="E999" s="24"/>
      <c r="F999" s="24"/>
      <c r="G999" s="24"/>
      <c r="I999" s="18"/>
      <c r="J999" s="19"/>
      <c r="M999" s="14"/>
      <c r="N999" s="14"/>
      <c r="O999" s="14"/>
    </row>
    <row r="1000">
      <c r="D1000" s="24"/>
      <c r="E1000" s="24"/>
      <c r="F1000" s="24"/>
      <c r="G1000" s="24"/>
      <c r="I1000" s="18"/>
      <c r="J1000" s="19"/>
      <c r="M1000" s="14"/>
      <c r="N1000" s="14"/>
      <c r="O1000" s="14"/>
    </row>
    <row r="1001">
      <c r="D1001" s="24"/>
      <c r="E1001" s="24"/>
      <c r="F1001" s="24"/>
      <c r="G1001" s="24"/>
      <c r="I1001" s="18"/>
      <c r="J1001" s="19"/>
      <c r="M1001" s="14"/>
      <c r="N1001" s="14"/>
      <c r="O1001" s="14"/>
    </row>
    <row r="1002">
      <c r="D1002" s="24"/>
      <c r="E1002" s="24"/>
      <c r="F1002" s="24"/>
      <c r="G1002" s="24"/>
      <c r="I1002" s="18"/>
      <c r="J1002" s="19"/>
      <c r="M1002" s="14"/>
      <c r="N1002" s="14"/>
      <c r="O1002" s="14"/>
    </row>
    <row r="1003">
      <c r="D1003" s="24"/>
      <c r="E1003" s="24"/>
      <c r="F1003" s="24"/>
      <c r="G1003" s="24"/>
      <c r="I1003" s="18"/>
      <c r="J1003" s="19"/>
      <c r="M1003" s="14"/>
      <c r="N1003" s="14"/>
      <c r="O1003" s="14"/>
    </row>
    <row r="1004">
      <c r="D1004" s="24"/>
      <c r="E1004" s="24"/>
      <c r="F1004" s="24"/>
      <c r="G1004" s="24"/>
      <c r="I1004" s="18"/>
      <c r="J1004" s="19"/>
      <c r="M1004" s="14"/>
      <c r="N1004" s="14"/>
      <c r="O1004" s="14"/>
    </row>
    <row r="1005">
      <c r="D1005" s="24"/>
      <c r="E1005" s="24"/>
      <c r="F1005" s="24"/>
      <c r="G1005" s="24"/>
      <c r="I1005" s="18"/>
      <c r="J1005" s="19"/>
      <c r="M1005" s="14"/>
      <c r="N1005" s="14"/>
      <c r="O1005" s="14"/>
    </row>
    <row r="1006">
      <c r="D1006" s="24"/>
      <c r="E1006" s="24"/>
      <c r="F1006" s="24"/>
      <c r="G1006" s="24"/>
      <c r="I1006" s="18"/>
      <c r="J1006" s="19"/>
      <c r="M1006" s="14"/>
      <c r="N1006" s="14"/>
      <c r="O1006" s="14"/>
    </row>
    <row r="1007">
      <c r="D1007" s="24"/>
      <c r="E1007" s="24"/>
      <c r="F1007" s="24"/>
      <c r="G1007" s="24"/>
      <c r="I1007" s="18"/>
      <c r="J1007" s="19"/>
      <c r="M1007" s="14"/>
      <c r="N1007" s="14"/>
      <c r="O1007" s="14"/>
    </row>
    <row r="1008">
      <c r="D1008" s="24"/>
      <c r="E1008" s="24"/>
      <c r="F1008" s="24"/>
      <c r="G1008" s="24"/>
      <c r="I1008" s="18"/>
      <c r="J1008" s="19"/>
      <c r="M1008" s="14"/>
      <c r="N1008" s="14"/>
      <c r="O1008" s="14"/>
    </row>
    <row r="1009">
      <c r="D1009" s="24"/>
      <c r="E1009" s="24"/>
      <c r="F1009" s="24"/>
      <c r="G1009" s="24"/>
      <c r="I1009" s="18"/>
      <c r="J1009" s="19"/>
      <c r="M1009" s="14"/>
      <c r="N1009" s="14"/>
      <c r="O1009" s="14"/>
    </row>
    <row r="1010">
      <c r="D1010" s="24"/>
      <c r="E1010" s="24"/>
      <c r="F1010" s="24"/>
      <c r="G1010" s="24"/>
      <c r="I1010" s="18"/>
      <c r="J1010" s="19"/>
      <c r="M1010" s="14"/>
      <c r="N1010" s="14"/>
      <c r="O1010" s="14"/>
    </row>
    <row r="1011">
      <c r="D1011" s="24"/>
      <c r="E1011" s="24"/>
      <c r="F1011" s="24"/>
      <c r="G1011" s="24"/>
      <c r="I1011" s="18"/>
      <c r="J1011" s="19"/>
      <c r="M1011" s="14"/>
      <c r="N1011" s="14"/>
      <c r="O1011" s="14"/>
    </row>
    <row r="1012">
      <c r="D1012" s="24"/>
      <c r="E1012" s="24"/>
      <c r="F1012" s="24"/>
      <c r="G1012" s="24"/>
      <c r="I1012" s="18"/>
      <c r="J1012" s="19"/>
      <c r="M1012" s="14"/>
      <c r="N1012" s="14"/>
      <c r="O1012" s="14"/>
    </row>
    <row r="1013">
      <c r="D1013" s="24"/>
      <c r="E1013" s="24"/>
      <c r="F1013" s="24"/>
      <c r="G1013" s="24"/>
      <c r="I1013" s="18"/>
      <c r="J1013" s="19"/>
      <c r="M1013" s="14"/>
      <c r="N1013" s="14"/>
      <c r="O1013" s="14"/>
    </row>
    <row r="1014">
      <c r="D1014" s="24"/>
      <c r="E1014" s="24"/>
      <c r="F1014" s="24"/>
      <c r="G1014" s="24"/>
      <c r="I1014" s="18"/>
      <c r="J1014" s="19"/>
      <c r="M1014" s="14"/>
      <c r="N1014" s="14"/>
      <c r="O1014" s="14"/>
    </row>
    <row r="1015">
      <c r="D1015" s="24"/>
      <c r="E1015" s="24"/>
      <c r="F1015" s="24"/>
      <c r="G1015" s="24"/>
      <c r="I1015" s="18"/>
      <c r="J1015" s="19"/>
      <c r="M1015" s="14"/>
      <c r="N1015" s="14"/>
      <c r="O1015" s="14"/>
    </row>
    <row r="1016">
      <c r="D1016" s="24"/>
      <c r="E1016" s="24"/>
      <c r="F1016" s="24"/>
      <c r="G1016" s="24"/>
      <c r="I1016" s="18"/>
      <c r="J1016" s="19"/>
      <c r="M1016" s="14"/>
      <c r="N1016" s="14"/>
      <c r="O1016" s="14"/>
    </row>
    <row r="1017">
      <c r="D1017" s="24"/>
      <c r="E1017" s="24"/>
      <c r="F1017" s="24"/>
      <c r="G1017" s="24"/>
      <c r="I1017" s="18"/>
      <c r="J1017" s="19"/>
      <c r="M1017" s="14"/>
      <c r="N1017" s="14"/>
      <c r="O1017" s="14"/>
    </row>
    <row r="1018">
      <c r="D1018" s="24"/>
      <c r="E1018" s="24"/>
      <c r="F1018" s="24"/>
      <c r="G1018" s="24"/>
      <c r="I1018" s="18"/>
      <c r="J1018" s="19"/>
      <c r="M1018" s="14"/>
      <c r="N1018" s="14"/>
      <c r="O1018" s="14"/>
    </row>
    <row r="1019">
      <c r="D1019" s="24"/>
      <c r="E1019" s="24"/>
      <c r="F1019" s="24"/>
      <c r="G1019" s="24"/>
      <c r="I1019" s="18"/>
      <c r="J1019" s="19"/>
      <c r="M1019" s="14"/>
      <c r="N1019" s="14"/>
      <c r="O1019" s="14"/>
    </row>
    <row r="1020">
      <c r="D1020" s="24"/>
      <c r="E1020" s="24"/>
      <c r="F1020" s="24"/>
      <c r="G1020" s="24"/>
      <c r="I1020" s="18"/>
      <c r="J1020" s="19"/>
      <c r="M1020" s="14"/>
      <c r="N1020" s="14"/>
      <c r="O1020" s="14"/>
    </row>
    <row r="1021">
      <c r="D1021" s="24"/>
      <c r="E1021" s="24"/>
      <c r="F1021" s="24"/>
      <c r="G1021" s="24"/>
      <c r="I1021" s="18"/>
      <c r="J1021" s="19"/>
      <c r="M1021" s="14"/>
      <c r="N1021" s="14"/>
      <c r="O1021" s="14"/>
    </row>
    <row r="1022">
      <c r="D1022" s="24"/>
      <c r="E1022" s="24"/>
      <c r="F1022" s="24"/>
      <c r="G1022" s="24"/>
      <c r="I1022" s="18"/>
      <c r="J1022" s="19"/>
      <c r="M1022" s="14"/>
      <c r="N1022" s="14"/>
      <c r="O1022" s="14"/>
    </row>
    <row r="1023">
      <c r="D1023" s="24"/>
      <c r="E1023" s="24"/>
      <c r="F1023" s="24"/>
      <c r="G1023" s="24"/>
      <c r="I1023" s="18"/>
      <c r="J1023" s="19"/>
      <c r="M1023" s="14"/>
      <c r="N1023" s="14"/>
      <c r="O1023" s="14"/>
    </row>
    <row r="1024">
      <c r="D1024" s="24"/>
      <c r="E1024" s="24"/>
      <c r="F1024" s="24"/>
      <c r="G1024" s="24"/>
      <c r="I1024" s="18"/>
      <c r="J1024" s="19"/>
      <c r="M1024" s="14"/>
      <c r="N1024" s="14"/>
      <c r="O1024" s="14"/>
    </row>
    <row r="1025">
      <c r="D1025" s="24"/>
      <c r="E1025" s="24"/>
      <c r="F1025" s="24"/>
      <c r="G1025" s="24"/>
      <c r="I1025" s="18"/>
      <c r="J1025" s="19"/>
      <c r="M1025" s="14"/>
      <c r="N1025" s="14"/>
      <c r="O1025" s="14"/>
    </row>
    <row r="1026">
      <c r="D1026" s="24"/>
      <c r="E1026" s="24"/>
      <c r="F1026" s="24"/>
      <c r="G1026" s="24"/>
      <c r="I1026" s="18"/>
      <c r="J1026" s="19"/>
      <c r="M1026" s="14"/>
      <c r="N1026" s="14"/>
      <c r="O1026" s="14"/>
    </row>
    <row r="1027">
      <c r="D1027" s="24"/>
      <c r="E1027" s="24"/>
      <c r="F1027" s="24"/>
      <c r="G1027" s="24"/>
      <c r="I1027" s="18"/>
      <c r="J1027" s="19"/>
      <c r="M1027" s="14"/>
      <c r="N1027" s="14"/>
      <c r="O1027" s="14"/>
    </row>
    <row r="1028">
      <c r="D1028" s="24"/>
      <c r="E1028" s="24"/>
      <c r="F1028" s="24"/>
      <c r="G1028" s="24"/>
      <c r="I1028" s="18"/>
      <c r="J1028" s="19"/>
      <c r="M1028" s="14"/>
      <c r="N1028" s="14"/>
      <c r="O1028" s="14"/>
    </row>
    <row r="1029">
      <c r="D1029" s="24"/>
      <c r="E1029" s="24"/>
      <c r="F1029" s="24"/>
      <c r="G1029" s="24"/>
      <c r="I1029" s="18"/>
      <c r="J1029" s="19"/>
      <c r="M1029" s="14"/>
      <c r="N1029" s="14"/>
      <c r="O1029" s="14"/>
    </row>
    <row r="1030">
      <c r="D1030" s="24"/>
      <c r="E1030" s="24"/>
      <c r="F1030" s="24"/>
      <c r="G1030" s="24"/>
      <c r="I1030" s="18"/>
      <c r="J1030" s="19"/>
      <c r="M1030" s="14"/>
      <c r="N1030" s="14"/>
      <c r="O1030" s="14"/>
    </row>
    <row r="1031">
      <c r="D1031" s="24"/>
      <c r="E1031" s="24"/>
      <c r="F1031" s="24"/>
      <c r="G1031" s="24"/>
      <c r="I1031" s="18"/>
      <c r="J1031" s="19"/>
      <c r="M1031" s="14"/>
      <c r="N1031" s="14"/>
      <c r="O1031" s="14"/>
    </row>
    <row r="1032">
      <c r="D1032" s="24"/>
      <c r="E1032" s="24"/>
      <c r="F1032" s="24"/>
      <c r="G1032" s="24"/>
      <c r="I1032" s="18"/>
      <c r="J1032" s="19"/>
      <c r="M1032" s="14"/>
      <c r="N1032" s="14"/>
      <c r="O1032" s="14"/>
    </row>
    <row r="1033">
      <c r="D1033" s="24"/>
      <c r="E1033" s="24"/>
      <c r="F1033" s="24"/>
      <c r="G1033" s="24"/>
      <c r="I1033" s="18"/>
      <c r="J1033" s="19"/>
      <c r="M1033" s="14"/>
      <c r="N1033" s="14"/>
      <c r="O1033" s="14"/>
    </row>
    <row r="1034">
      <c r="D1034" s="24"/>
      <c r="E1034" s="24"/>
      <c r="F1034" s="24"/>
      <c r="G1034" s="24"/>
      <c r="I1034" s="18"/>
      <c r="J1034" s="19"/>
      <c r="M1034" s="14"/>
      <c r="N1034" s="14"/>
      <c r="O1034" s="14"/>
    </row>
    <row r="1035">
      <c r="D1035" s="24"/>
      <c r="E1035" s="24"/>
      <c r="F1035" s="24"/>
      <c r="G1035" s="24"/>
      <c r="I1035" s="18"/>
      <c r="J1035" s="19"/>
      <c r="M1035" s="14"/>
      <c r="N1035" s="14"/>
      <c r="O1035" s="14"/>
    </row>
    <row r="1036">
      <c r="D1036" s="24"/>
      <c r="E1036" s="24"/>
      <c r="F1036" s="24"/>
      <c r="G1036" s="24"/>
      <c r="I1036" s="18"/>
      <c r="J1036" s="19"/>
      <c r="M1036" s="14"/>
      <c r="N1036" s="14"/>
      <c r="O1036" s="14"/>
    </row>
    <row r="1037">
      <c r="D1037" s="24"/>
      <c r="E1037" s="24"/>
      <c r="F1037" s="24"/>
      <c r="G1037" s="24"/>
      <c r="I1037" s="18"/>
      <c r="J1037" s="19"/>
      <c r="M1037" s="14"/>
      <c r="N1037" s="14"/>
      <c r="O1037" s="14"/>
    </row>
    <row r="1038">
      <c r="D1038" s="24"/>
      <c r="E1038" s="24"/>
      <c r="F1038" s="24"/>
      <c r="G1038" s="24"/>
      <c r="I1038" s="18"/>
      <c r="J1038" s="19"/>
      <c r="M1038" s="14"/>
      <c r="N1038" s="14"/>
      <c r="O1038" s="14"/>
    </row>
    <row r="1039">
      <c r="D1039" s="24"/>
      <c r="E1039" s="24"/>
      <c r="F1039" s="24"/>
      <c r="G1039" s="24"/>
      <c r="I1039" s="18"/>
      <c r="J1039" s="19"/>
      <c r="M1039" s="14"/>
      <c r="N1039" s="14"/>
      <c r="O1039" s="14"/>
    </row>
    <row r="1040">
      <c r="D1040" s="24"/>
      <c r="E1040" s="24"/>
      <c r="F1040" s="24"/>
      <c r="G1040" s="24"/>
      <c r="I1040" s="18"/>
      <c r="J1040" s="19"/>
      <c r="M1040" s="14"/>
      <c r="N1040" s="14"/>
      <c r="O1040" s="14"/>
    </row>
    <row r="1041">
      <c r="D1041" s="24"/>
      <c r="E1041" s="24"/>
      <c r="F1041" s="24"/>
      <c r="G1041" s="24"/>
      <c r="I1041" s="18"/>
      <c r="J1041" s="19"/>
      <c r="M1041" s="14"/>
      <c r="N1041" s="14"/>
      <c r="O1041" s="14"/>
    </row>
    <row r="1042">
      <c r="D1042" s="24"/>
      <c r="E1042" s="24"/>
      <c r="F1042" s="24"/>
      <c r="G1042" s="24"/>
      <c r="I1042" s="18"/>
      <c r="J1042" s="19"/>
      <c r="M1042" s="14"/>
      <c r="N1042" s="14"/>
      <c r="O1042" s="14"/>
    </row>
    <row r="1043">
      <c r="D1043" s="24"/>
      <c r="E1043" s="24"/>
      <c r="F1043" s="24"/>
      <c r="G1043" s="24"/>
      <c r="I1043" s="18"/>
      <c r="J1043" s="19"/>
      <c r="M1043" s="14"/>
      <c r="N1043" s="14"/>
      <c r="O1043" s="14"/>
    </row>
    <row r="1044">
      <c r="D1044" s="24"/>
      <c r="E1044" s="24"/>
      <c r="F1044" s="24"/>
      <c r="G1044" s="24"/>
      <c r="I1044" s="18"/>
      <c r="J1044" s="19"/>
      <c r="M1044" s="14"/>
      <c r="N1044" s="14"/>
      <c r="O1044" s="14"/>
    </row>
    <row r="1045">
      <c r="D1045" s="24"/>
      <c r="E1045" s="24"/>
      <c r="F1045" s="24"/>
      <c r="G1045" s="24"/>
      <c r="I1045" s="18"/>
      <c r="J1045" s="19"/>
      <c r="M1045" s="14"/>
      <c r="N1045" s="14"/>
      <c r="O1045" s="14"/>
    </row>
    <row r="1046">
      <c r="D1046" s="24"/>
      <c r="E1046" s="24"/>
      <c r="F1046" s="24"/>
      <c r="G1046" s="24"/>
      <c r="I1046" s="18"/>
      <c r="J1046" s="19"/>
      <c r="M1046" s="14"/>
      <c r="N1046" s="14"/>
      <c r="O1046" s="14"/>
    </row>
    <row r="1047">
      <c r="D1047" s="24"/>
      <c r="E1047" s="24"/>
      <c r="F1047" s="24"/>
      <c r="G1047" s="24"/>
      <c r="I1047" s="18"/>
      <c r="J1047" s="19"/>
      <c r="M1047" s="14"/>
      <c r="N1047" s="14"/>
      <c r="O1047" s="14"/>
    </row>
    <row r="1048">
      <c r="D1048" s="24"/>
      <c r="E1048" s="24"/>
      <c r="F1048" s="24"/>
      <c r="G1048" s="24"/>
      <c r="I1048" s="18"/>
      <c r="J1048" s="19"/>
      <c r="M1048" s="14"/>
      <c r="N1048" s="14"/>
      <c r="O1048" s="14"/>
    </row>
    <row r="1049">
      <c r="D1049" s="24"/>
      <c r="E1049" s="24"/>
      <c r="F1049" s="24"/>
      <c r="G1049" s="24"/>
      <c r="I1049" s="18"/>
      <c r="J1049" s="19"/>
      <c r="M1049" s="14"/>
      <c r="N1049" s="14"/>
      <c r="O1049" s="14"/>
    </row>
    <row r="1050">
      <c r="D1050" s="24"/>
      <c r="E1050" s="24"/>
      <c r="F1050" s="24"/>
      <c r="G1050" s="24"/>
      <c r="I1050" s="18"/>
      <c r="J1050" s="19"/>
      <c r="M1050" s="14"/>
      <c r="N1050" s="14"/>
      <c r="O1050" s="14"/>
    </row>
  </sheetData>
  <conditionalFormatting sqref="B4:B197 C4:C199 B199">
    <cfRule type="cellIs" dxfId="0" priority="1" operator="lessThan">
      <formula>0</formula>
    </cfRule>
  </conditionalFormatting>
  <conditionalFormatting sqref="B4:B197 C4:C199 B199">
    <cfRule type="cellIs" dxfId="1" priority="2" operator="greaterThan">
      <formula>0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7" max="7" width="21.63"/>
    <col customWidth="1" min="8" max="8" width="19.13"/>
    <col customWidth="1" min="9" max="9" width="20.38"/>
    <col customWidth="1" min="10" max="10" width="15.63"/>
    <col customWidth="1" min="11" max="11" width="18.75"/>
    <col customWidth="1" min="12" max="12" width="13.13"/>
    <col customWidth="1" min="13" max="13" width="14.88"/>
    <col customWidth="1" min="14" max="14" width="18.38"/>
    <col customWidth="1" min="15" max="15" width="21.63"/>
  </cols>
  <sheetData>
    <row r="1">
      <c r="A1" s="76"/>
      <c r="B1" s="77"/>
      <c r="M1" s="15" t="s">
        <v>315</v>
      </c>
      <c r="N1" s="15" t="s">
        <v>316</v>
      </c>
      <c r="O1" s="15" t="s">
        <v>317</v>
      </c>
      <c r="P1" s="15" t="s">
        <v>318</v>
      </c>
      <c r="Q1" s="15" t="s">
        <v>319</v>
      </c>
      <c r="R1" s="15" t="s">
        <v>320</v>
      </c>
    </row>
    <row r="2">
      <c r="A2" s="22"/>
      <c r="B2" s="22"/>
      <c r="M2" s="6" t="s">
        <v>321</v>
      </c>
      <c r="N2" s="24">
        <f>'Full Inventory Cost'!K144+'Full Inventory Cost'!K150+'Full Inventory Cost'!K153</f>
        <v>0.16161</v>
      </c>
      <c r="O2" s="24">
        <f>'Full Inventory Cost'!K20*10+0.34+N2</f>
        <v>0.8125475</v>
      </c>
      <c r="P2" s="6">
        <v>5.25</v>
      </c>
      <c r="Q2" s="20">
        <f t="shared" ref="Q2:Q4" si="1">O2/P2</f>
        <v>0.1547709524</v>
      </c>
      <c r="R2" s="21">
        <f t="shared" ref="R2:R4" si="2">P2-O2</f>
        <v>4.4374525</v>
      </c>
    </row>
    <row r="3">
      <c r="A3" s="78" t="s">
        <v>322</v>
      </c>
      <c r="B3" s="22"/>
      <c r="M3" s="6" t="s">
        <v>323</v>
      </c>
      <c r="N3" s="24">
        <f>'Full Inventory Cost'!K145+'Full Inventory Cost'!K150+'Full Inventory Cost'!K153</f>
        <v>0.19081</v>
      </c>
      <c r="O3" s="24">
        <f>'Full Inventory Cost'!K20*14+0.34+N3</f>
        <v>0.9661225</v>
      </c>
      <c r="P3" s="6">
        <v>6.0</v>
      </c>
      <c r="Q3" s="20">
        <f t="shared" si="1"/>
        <v>0.1610204167</v>
      </c>
      <c r="R3" s="21">
        <f t="shared" si="2"/>
        <v>5.0338775</v>
      </c>
    </row>
    <row r="4">
      <c r="A4" s="79"/>
      <c r="B4" s="79"/>
      <c r="C4" s="80"/>
      <c r="D4" s="80"/>
      <c r="E4" s="80"/>
      <c r="F4" s="80"/>
      <c r="G4" s="80"/>
      <c r="H4" s="80"/>
      <c r="I4" s="80"/>
      <c r="J4" s="80"/>
      <c r="K4" s="80"/>
      <c r="M4" s="6" t="s">
        <v>324</v>
      </c>
      <c r="N4" s="24">
        <f>'Full Inventory Cost'!K146+'Full Inventory Cost'!K150+'Full Inventory Cost'!K153</f>
        <v>0.18861</v>
      </c>
      <c r="O4" s="24">
        <f>'Full Inventory Cost'!K20*18+0.68+N4</f>
        <v>1.4282975</v>
      </c>
      <c r="P4" s="6">
        <v>7.5</v>
      </c>
      <c r="Q4" s="20">
        <f t="shared" si="1"/>
        <v>0.1904396667</v>
      </c>
      <c r="R4" s="21">
        <f t="shared" si="2"/>
        <v>6.0717025</v>
      </c>
    </row>
    <row r="5">
      <c r="A5" s="78"/>
      <c r="B5" s="78"/>
      <c r="C5" s="78"/>
      <c r="D5" s="76"/>
      <c r="Q5" s="20"/>
    </row>
    <row r="6">
      <c r="A6" s="78" t="s">
        <v>325</v>
      </c>
      <c r="B6" s="78" t="s">
        <v>326</v>
      </c>
      <c r="D6" s="76" t="s">
        <v>327</v>
      </c>
      <c r="M6" s="6" t="s">
        <v>328</v>
      </c>
      <c r="N6" s="24">
        <f>'Full Inventory Cost'!K147+'Full Inventory Cost'!K151+'Full Inventory Cost'!K154+'Full Inventory Cost'!K173</f>
        <v>0.21687</v>
      </c>
      <c r="O6" s="24">
        <f>'Full Inventory Cost'!K20*10+0.34+N6</f>
        <v>0.8678075</v>
      </c>
      <c r="P6" s="6">
        <v>5.25</v>
      </c>
      <c r="Q6" s="20">
        <f t="shared" ref="Q6:Q8" si="3">O6/P6</f>
        <v>0.1652966667</v>
      </c>
      <c r="R6" s="21">
        <f t="shared" ref="R6:R8" si="4">P6-O6</f>
        <v>4.3821925</v>
      </c>
    </row>
    <row r="7">
      <c r="A7" s="22" t="s">
        <v>329</v>
      </c>
      <c r="B7" s="22">
        <v>1.0</v>
      </c>
      <c r="M7" s="6" t="s">
        <v>330</v>
      </c>
      <c r="N7" s="24">
        <f>'Full Inventory Cost'!K148+'Full Inventory Cost'!K151+'Full Inventory Cost'!K154+'Full Inventory Cost'!K173</f>
        <v>0.22377</v>
      </c>
      <c r="O7" s="24">
        <f>'Full Inventory Cost'!K20*14+0.34+N7</f>
        <v>0.9990825</v>
      </c>
      <c r="P7" s="6">
        <v>6.0</v>
      </c>
      <c r="Q7" s="20">
        <f t="shared" si="3"/>
        <v>0.16651375</v>
      </c>
      <c r="R7" s="21">
        <f t="shared" si="4"/>
        <v>5.0009175</v>
      </c>
    </row>
    <row r="8">
      <c r="B8" s="77"/>
      <c r="M8" s="6" t="s">
        <v>331</v>
      </c>
      <c r="N8" s="24">
        <f>'Full Inventory Cost'!K149+'Full Inventory Cost'!K151+'Full Inventory Cost'!K154+'Full Inventory Cost'!K173</f>
        <v>0.2211033333</v>
      </c>
      <c r="O8" s="24">
        <f>'Full Inventory Cost'!K20*16+0.68+N8</f>
        <v>1.398603333</v>
      </c>
      <c r="P8" s="6">
        <v>7.25</v>
      </c>
      <c r="Q8" s="20">
        <f t="shared" si="3"/>
        <v>0.1929108046</v>
      </c>
      <c r="R8" s="21">
        <f t="shared" si="4"/>
        <v>5.851396667</v>
      </c>
    </row>
    <row r="9">
      <c r="A9" s="81" t="s">
        <v>332</v>
      </c>
      <c r="B9" s="82" t="s">
        <v>333</v>
      </c>
      <c r="C9" s="83"/>
      <c r="D9" s="82" t="s">
        <v>334</v>
      </c>
      <c r="E9" s="83"/>
      <c r="F9" s="81" t="s">
        <v>335</v>
      </c>
    </row>
    <row r="10">
      <c r="A10" s="84" t="s">
        <v>336</v>
      </c>
    </row>
    <row r="11">
      <c r="A11" s="6" t="s">
        <v>337</v>
      </c>
      <c r="B11" s="38">
        <v>1.0</v>
      </c>
      <c r="C11" s="6" t="s">
        <v>338</v>
      </c>
      <c r="D11" s="60">
        <f>'Full Inventory Cost'!N119</f>
        <v>0.2082291667</v>
      </c>
      <c r="E11" s="6" t="s">
        <v>338</v>
      </c>
      <c r="F11" s="24">
        <f t="shared" ref="F11:F12" si="5">B11*D11</f>
        <v>0.2082291667</v>
      </c>
    </row>
    <row r="12">
      <c r="A12" s="6" t="s">
        <v>339</v>
      </c>
      <c r="B12" s="38">
        <v>10.0</v>
      </c>
      <c r="C12" s="6" t="s">
        <v>340</v>
      </c>
      <c r="D12" s="24">
        <f>'Full Inventory Cost'!K20</f>
        <v>0.03109375</v>
      </c>
      <c r="E12" s="6" t="s">
        <v>340</v>
      </c>
      <c r="F12" s="24">
        <f t="shared" si="5"/>
        <v>0.3109375</v>
      </c>
    </row>
    <row r="14">
      <c r="A14" s="84" t="s">
        <v>341</v>
      </c>
      <c r="N14" s="85"/>
      <c r="O14" s="86"/>
      <c r="P14" s="85"/>
      <c r="Q14" s="87"/>
      <c r="R14" s="85"/>
      <c r="S14" s="87"/>
    </row>
    <row r="15">
      <c r="A15" s="6" t="s">
        <v>342</v>
      </c>
      <c r="B15" s="38">
        <v>1.0</v>
      </c>
      <c r="C15" s="6" t="s">
        <v>343</v>
      </c>
      <c r="D15" s="24">
        <f>'Full Inventory Cost'!K147</f>
        <v>0.0972</v>
      </c>
      <c r="E15" s="6" t="s">
        <v>343</v>
      </c>
      <c r="F15" s="24">
        <f t="shared" ref="F15:F18" si="6">B15*D15</f>
        <v>0.0972</v>
      </c>
      <c r="N15" s="85"/>
      <c r="O15" s="88"/>
      <c r="P15" s="85"/>
      <c r="Q15" s="87"/>
      <c r="R15" s="85"/>
      <c r="S15" s="87"/>
    </row>
    <row r="16">
      <c r="A16" s="6" t="s">
        <v>344</v>
      </c>
      <c r="B16" s="38">
        <v>1.0</v>
      </c>
      <c r="C16" s="6" t="s">
        <v>343</v>
      </c>
      <c r="D16" s="24">
        <f>'Full Inventory Cost'!K151</f>
        <v>0.05099</v>
      </c>
      <c r="E16" s="6" t="s">
        <v>343</v>
      </c>
      <c r="F16" s="24">
        <f t="shared" si="6"/>
        <v>0.05099</v>
      </c>
    </row>
    <row r="17">
      <c r="A17" s="6" t="s">
        <v>345</v>
      </c>
      <c r="B17" s="38">
        <v>1.0</v>
      </c>
      <c r="C17" s="6" t="s">
        <v>343</v>
      </c>
      <c r="D17" s="24">
        <f>'Full Inventory Cost'!K154</f>
        <v>0.01909</v>
      </c>
      <c r="E17" s="6" t="s">
        <v>343</v>
      </c>
      <c r="F17" s="24">
        <f t="shared" si="6"/>
        <v>0.01909</v>
      </c>
    </row>
    <row r="18">
      <c r="A18" s="6" t="s">
        <v>346</v>
      </c>
      <c r="B18" s="38">
        <v>1.0</v>
      </c>
      <c r="C18" s="6" t="s">
        <v>343</v>
      </c>
      <c r="D18" s="24">
        <f>'Full Inventory Cost'!K173</f>
        <v>0.04959</v>
      </c>
      <c r="E18" s="6" t="s">
        <v>343</v>
      </c>
      <c r="F18" s="24">
        <f t="shared" si="6"/>
        <v>0.04959</v>
      </c>
    </row>
    <row r="19">
      <c r="B19" s="77"/>
    </row>
    <row r="20">
      <c r="B20" s="77"/>
      <c r="E20" s="89" t="s">
        <v>347</v>
      </c>
      <c r="F20" s="90">
        <f>SUM(F10:F17)</f>
        <v>0.6864466667</v>
      </c>
      <c r="G20" s="91" t="s">
        <v>348</v>
      </c>
      <c r="H20" s="91" t="s">
        <v>349</v>
      </c>
      <c r="I20" s="91" t="s">
        <v>350</v>
      </c>
      <c r="J20" s="6" t="s">
        <v>351</v>
      </c>
      <c r="K20" s="91" t="s">
        <v>352</v>
      </c>
    </row>
    <row r="21">
      <c r="B21" s="77"/>
      <c r="E21" s="92" t="s">
        <v>334</v>
      </c>
      <c r="F21" s="93">
        <f>F20/B7</f>
        <v>0.6864466667</v>
      </c>
      <c r="G21" s="24">
        <f>F21*5</f>
        <v>3.432233333</v>
      </c>
      <c r="H21" s="94">
        <v>4.75</v>
      </c>
      <c r="I21" s="95">
        <f>F21/H21</f>
        <v>0.1445150877</v>
      </c>
      <c r="J21" s="6">
        <v>5.5</v>
      </c>
      <c r="K21" s="96">
        <f>F21/J21</f>
        <v>0.1248084848</v>
      </c>
      <c r="L21" s="24">
        <f>J21-F21</f>
        <v>4.813553333</v>
      </c>
    </row>
    <row r="22">
      <c r="B22" s="77"/>
    </row>
    <row r="23">
      <c r="B23" s="77"/>
    </row>
    <row r="24">
      <c r="A24" s="78" t="s">
        <v>325</v>
      </c>
      <c r="B24" s="78" t="s">
        <v>353</v>
      </c>
      <c r="D24" s="76" t="s">
        <v>354</v>
      </c>
    </row>
    <row r="25">
      <c r="A25" s="22" t="s">
        <v>329</v>
      </c>
      <c r="B25" s="22">
        <v>1.0</v>
      </c>
    </row>
    <row r="26">
      <c r="B26" s="77"/>
    </row>
    <row r="27">
      <c r="A27" s="81" t="s">
        <v>332</v>
      </c>
      <c r="B27" s="82" t="s">
        <v>333</v>
      </c>
      <c r="C27" s="83"/>
      <c r="D27" s="82" t="s">
        <v>334</v>
      </c>
      <c r="E27" s="83"/>
      <c r="F27" s="81" t="s">
        <v>335</v>
      </c>
    </row>
    <row r="28">
      <c r="A28" s="84" t="s">
        <v>336</v>
      </c>
    </row>
    <row r="29">
      <c r="A29" s="6" t="s">
        <v>337</v>
      </c>
      <c r="B29" s="38">
        <v>2.0</v>
      </c>
      <c r="C29" s="6" t="s">
        <v>338</v>
      </c>
      <c r="D29" s="60">
        <f>'Full Inventory Cost'!N119</f>
        <v>0.2082291667</v>
      </c>
      <c r="E29" s="6" t="s">
        <v>338</v>
      </c>
      <c r="F29" s="24">
        <f t="shared" ref="F29:F30" si="7">B29*D29</f>
        <v>0.4164583333</v>
      </c>
    </row>
    <row r="30">
      <c r="A30" s="6" t="s">
        <v>339</v>
      </c>
      <c r="B30" s="38">
        <v>14.0</v>
      </c>
      <c r="C30" s="6" t="s">
        <v>340</v>
      </c>
      <c r="D30" s="24">
        <f>'Full Inventory Cost'!K20</f>
        <v>0.03109375</v>
      </c>
      <c r="E30" s="6" t="s">
        <v>340</v>
      </c>
      <c r="F30" s="24">
        <f t="shared" si="7"/>
        <v>0.4353125</v>
      </c>
    </row>
    <row r="31">
      <c r="A31" s="77"/>
      <c r="B31" s="77"/>
    </row>
    <row r="32">
      <c r="A32" s="84" t="s">
        <v>341</v>
      </c>
    </row>
    <row r="33">
      <c r="A33" s="6" t="s">
        <v>355</v>
      </c>
      <c r="B33" s="38">
        <v>1.0</v>
      </c>
      <c r="C33" s="6" t="s">
        <v>343</v>
      </c>
      <c r="D33" s="24">
        <f>'Full Inventory Cost'!K149</f>
        <v>0.1014333333</v>
      </c>
      <c r="E33" s="6" t="s">
        <v>343</v>
      </c>
      <c r="F33" s="24">
        <f t="shared" ref="F33:F36" si="8">B33*D33</f>
        <v>0.1014333333</v>
      </c>
    </row>
    <row r="34">
      <c r="A34" s="6" t="s">
        <v>344</v>
      </c>
      <c r="B34" s="38">
        <v>1.0</v>
      </c>
      <c r="C34" s="6" t="s">
        <v>343</v>
      </c>
      <c r="D34" s="24">
        <f>'Full Inventory Cost'!K151</f>
        <v>0.05099</v>
      </c>
      <c r="E34" s="6" t="s">
        <v>343</v>
      </c>
      <c r="F34" s="24">
        <f t="shared" si="8"/>
        <v>0.05099</v>
      </c>
    </row>
    <row r="35">
      <c r="A35" s="6" t="s">
        <v>345</v>
      </c>
      <c r="B35" s="38">
        <v>1.0</v>
      </c>
      <c r="C35" s="6" t="s">
        <v>343</v>
      </c>
      <c r="D35" s="24">
        <f>'Full Inventory Cost'!K154</f>
        <v>0.01909</v>
      </c>
      <c r="E35" s="6" t="s">
        <v>343</v>
      </c>
      <c r="F35" s="24">
        <f t="shared" si="8"/>
        <v>0.01909</v>
      </c>
    </row>
    <row r="36">
      <c r="A36" s="6" t="s">
        <v>346</v>
      </c>
      <c r="B36" s="38">
        <v>1.0</v>
      </c>
      <c r="C36" s="6" t="s">
        <v>343</v>
      </c>
      <c r="D36" s="24">
        <f>'Full Inventory Cost'!K173</f>
        <v>0.04959</v>
      </c>
      <c r="E36" s="6" t="s">
        <v>343</v>
      </c>
      <c r="F36" s="24">
        <f t="shared" si="8"/>
        <v>0.04959</v>
      </c>
    </row>
    <row r="37">
      <c r="B37" s="77"/>
    </row>
    <row r="38">
      <c r="B38" s="77"/>
      <c r="E38" s="89" t="s">
        <v>347</v>
      </c>
      <c r="F38" s="90">
        <f>SUM(F28:F35)</f>
        <v>1.023284167</v>
      </c>
      <c r="G38" s="91" t="s">
        <v>348</v>
      </c>
      <c r="H38" s="91" t="s">
        <v>349</v>
      </c>
      <c r="I38" s="91" t="s">
        <v>350</v>
      </c>
      <c r="J38" s="6" t="s">
        <v>351</v>
      </c>
      <c r="K38" s="91" t="s">
        <v>352</v>
      </c>
    </row>
    <row r="39">
      <c r="B39" s="77"/>
      <c r="E39" s="92" t="s">
        <v>334</v>
      </c>
      <c r="F39" s="93">
        <f>F38/B25</f>
        <v>1.023284167</v>
      </c>
      <c r="G39" s="24">
        <f>F39*5</f>
        <v>5.116420833</v>
      </c>
      <c r="H39" s="94">
        <v>6.75</v>
      </c>
      <c r="I39" s="95">
        <f>F39/H39</f>
        <v>0.1515976543</v>
      </c>
      <c r="J39" s="6">
        <v>7.5</v>
      </c>
      <c r="K39" s="96">
        <f>F39/J39</f>
        <v>0.1364378889</v>
      </c>
      <c r="L39" s="24">
        <f>J39-F39</f>
        <v>6.476715833</v>
      </c>
    </row>
    <row r="40">
      <c r="B40" s="77"/>
    </row>
    <row r="41">
      <c r="B41" s="77"/>
    </row>
    <row r="42">
      <c r="A42" s="78" t="s">
        <v>325</v>
      </c>
      <c r="B42" s="78" t="s">
        <v>356</v>
      </c>
      <c r="D42" s="76" t="s">
        <v>327</v>
      </c>
    </row>
    <row r="43">
      <c r="A43" s="22" t="s">
        <v>329</v>
      </c>
      <c r="B43" s="22">
        <v>1.0</v>
      </c>
    </row>
    <row r="44">
      <c r="B44" s="77"/>
    </row>
    <row r="45">
      <c r="A45" s="81" t="s">
        <v>332</v>
      </c>
      <c r="B45" s="82" t="s">
        <v>333</v>
      </c>
      <c r="C45" s="83"/>
      <c r="D45" s="82" t="s">
        <v>334</v>
      </c>
      <c r="E45" s="83"/>
      <c r="F45" s="81" t="s">
        <v>335</v>
      </c>
    </row>
    <row r="46">
      <c r="A46" s="84" t="s">
        <v>336</v>
      </c>
    </row>
    <row r="47">
      <c r="A47" s="6" t="s">
        <v>357</v>
      </c>
      <c r="B47" s="38">
        <v>5.0</v>
      </c>
      <c r="C47" s="6" t="s">
        <v>340</v>
      </c>
      <c r="D47" s="21">
        <f>'Full Inventory Cost'!K7</f>
        <v>0.1822916667</v>
      </c>
      <c r="E47" s="6" t="s">
        <v>340</v>
      </c>
      <c r="F47" s="24">
        <f t="shared" ref="F47:F48" si="9">B47*D47</f>
        <v>0.9114583333</v>
      </c>
    </row>
    <row r="48">
      <c r="A48" s="6" t="s">
        <v>339</v>
      </c>
      <c r="B48" s="38">
        <v>5.0</v>
      </c>
      <c r="C48" s="6" t="s">
        <v>340</v>
      </c>
      <c r="D48" s="24">
        <f>'Full Inventory Cost'!K20</f>
        <v>0.03109375</v>
      </c>
      <c r="E48" s="6" t="s">
        <v>340</v>
      </c>
      <c r="F48" s="24">
        <f t="shared" si="9"/>
        <v>0.15546875</v>
      </c>
    </row>
    <row r="49">
      <c r="A49" s="77"/>
      <c r="B49" s="77"/>
    </row>
    <row r="50">
      <c r="A50" s="84" t="s">
        <v>341</v>
      </c>
    </row>
    <row r="51">
      <c r="A51" s="6" t="s">
        <v>342</v>
      </c>
      <c r="B51" s="38">
        <v>1.0</v>
      </c>
      <c r="C51" s="6" t="s">
        <v>343</v>
      </c>
      <c r="D51" s="97">
        <f>'Full Inventory Cost'!K147</f>
        <v>0.0972</v>
      </c>
      <c r="E51" s="6" t="s">
        <v>343</v>
      </c>
      <c r="F51" s="24">
        <f t="shared" ref="F51:F54" si="10">B51*D51</f>
        <v>0.0972</v>
      </c>
    </row>
    <row r="52">
      <c r="A52" s="6" t="s">
        <v>344</v>
      </c>
      <c r="B52" s="38">
        <v>1.0</v>
      </c>
      <c r="C52" s="6" t="s">
        <v>343</v>
      </c>
      <c r="D52" s="98">
        <f>'Full Inventory Cost'!K151</f>
        <v>0.05099</v>
      </c>
      <c r="E52" s="6" t="s">
        <v>343</v>
      </c>
      <c r="F52" s="24">
        <f t="shared" si="10"/>
        <v>0.05099</v>
      </c>
    </row>
    <row r="53">
      <c r="A53" s="6" t="s">
        <v>345</v>
      </c>
      <c r="B53" s="38">
        <v>1.0</v>
      </c>
      <c r="C53" s="6" t="s">
        <v>343</v>
      </c>
      <c r="D53" s="98">
        <f>'Full Inventory Cost'!K154</f>
        <v>0.01909</v>
      </c>
      <c r="E53" s="6" t="s">
        <v>343</v>
      </c>
      <c r="F53" s="24">
        <f t="shared" si="10"/>
        <v>0.01909</v>
      </c>
    </row>
    <row r="54">
      <c r="A54" s="99" t="s">
        <v>346</v>
      </c>
      <c r="B54" s="100">
        <v>1.0</v>
      </c>
      <c r="C54" s="99" t="s">
        <v>343</v>
      </c>
      <c r="D54" s="101">
        <f>'Full Inventory Cost'!K173</f>
        <v>0.04959</v>
      </c>
      <c r="E54" s="99" t="s">
        <v>343</v>
      </c>
      <c r="F54" s="24">
        <f t="shared" si="10"/>
        <v>0.04959</v>
      </c>
    </row>
    <row r="55">
      <c r="B55" s="77"/>
    </row>
    <row r="56">
      <c r="B56" s="77"/>
      <c r="E56" s="89" t="s">
        <v>347</v>
      </c>
      <c r="F56" s="90">
        <f>SUM(F46:F53)</f>
        <v>1.234207083</v>
      </c>
      <c r="G56" s="91" t="s">
        <v>348</v>
      </c>
      <c r="H56" s="91" t="s">
        <v>349</v>
      </c>
      <c r="I56" s="91" t="s">
        <v>350</v>
      </c>
      <c r="J56" s="6" t="s">
        <v>351</v>
      </c>
      <c r="K56" s="91" t="s">
        <v>352</v>
      </c>
    </row>
    <row r="57">
      <c r="B57" s="77"/>
      <c r="E57" s="92" t="s">
        <v>334</v>
      </c>
      <c r="F57" s="93">
        <f>F56/B43</f>
        <v>1.234207083</v>
      </c>
      <c r="G57" s="24">
        <f>F57*5</f>
        <v>6.171035417</v>
      </c>
      <c r="H57" s="94">
        <v>5.5</v>
      </c>
      <c r="I57" s="95">
        <f>F57/H57</f>
        <v>0.2244012879</v>
      </c>
      <c r="J57" s="6">
        <v>5.5</v>
      </c>
      <c r="K57" s="96">
        <f>F57/J57</f>
        <v>0.2244012879</v>
      </c>
      <c r="L57" s="24">
        <f>J57-F57</f>
        <v>4.265792917</v>
      </c>
    </row>
    <row r="58">
      <c r="B58" s="77"/>
    </row>
    <row r="59">
      <c r="B59" s="77"/>
    </row>
    <row r="60">
      <c r="A60" s="78" t="s">
        <v>325</v>
      </c>
      <c r="B60" s="78" t="s">
        <v>358</v>
      </c>
      <c r="C60" s="76"/>
      <c r="D60" s="76" t="s">
        <v>354</v>
      </c>
    </row>
    <row r="61">
      <c r="A61" s="22" t="s">
        <v>329</v>
      </c>
      <c r="B61" s="22">
        <v>1.0</v>
      </c>
    </row>
    <row r="62">
      <c r="B62" s="77"/>
    </row>
    <row r="63">
      <c r="A63" s="81" t="s">
        <v>332</v>
      </c>
      <c r="B63" s="82" t="s">
        <v>333</v>
      </c>
      <c r="C63" s="83"/>
      <c r="D63" s="82" t="s">
        <v>334</v>
      </c>
      <c r="E63" s="83"/>
      <c r="F63" s="81" t="s">
        <v>335</v>
      </c>
    </row>
    <row r="64">
      <c r="A64" s="84" t="s">
        <v>336</v>
      </c>
    </row>
    <row r="65">
      <c r="A65" s="6" t="s">
        <v>357</v>
      </c>
      <c r="B65" s="38">
        <v>7.0</v>
      </c>
      <c r="C65" s="6" t="s">
        <v>340</v>
      </c>
      <c r="D65" s="21">
        <f>'Full Inventory Cost'!K7</f>
        <v>0.1822916667</v>
      </c>
      <c r="E65" s="6" t="s">
        <v>340</v>
      </c>
      <c r="F65" s="24">
        <f t="shared" ref="F65:F66" si="11">B65*D65</f>
        <v>1.276041667</v>
      </c>
    </row>
    <row r="66">
      <c r="A66" s="6" t="s">
        <v>339</v>
      </c>
      <c r="B66" s="38">
        <v>7.0</v>
      </c>
      <c r="C66" s="6" t="s">
        <v>340</v>
      </c>
      <c r="D66" s="24">
        <f>'Full Inventory Cost'!K20</f>
        <v>0.03109375</v>
      </c>
      <c r="E66" s="6" t="s">
        <v>340</v>
      </c>
      <c r="F66" s="24">
        <f t="shared" si="11"/>
        <v>0.21765625</v>
      </c>
    </row>
    <row r="67">
      <c r="A67" s="77"/>
      <c r="B67" s="77"/>
    </row>
    <row r="68">
      <c r="A68" s="84" t="s">
        <v>341</v>
      </c>
    </row>
    <row r="69">
      <c r="A69" s="6" t="s">
        <v>355</v>
      </c>
      <c r="B69" s="38">
        <v>1.0</v>
      </c>
      <c r="C69" s="6" t="s">
        <v>343</v>
      </c>
      <c r="D69" s="98">
        <f>'Full Inventory Cost'!K149</f>
        <v>0.1014333333</v>
      </c>
      <c r="E69" s="6" t="s">
        <v>343</v>
      </c>
      <c r="F69" s="24">
        <f t="shared" ref="F69:F72" si="12">B69*D69</f>
        <v>0.1014333333</v>
      </c>
    </row>
    <row r="70">
      <c r="A70" s="6" t="s">
        <v>344</v>
      </c>
      <c r="B70" s="38">
        <v>1.0</v>
      </c>
      <c r="C70" s="6" t="s">
        <v>343</v>
      </c>
      <c r="D70" s="24">
        <f>'Full Inventory Cost'!K151</f>
        <v>0.05099</v>
      </c>
      <c r="E70" s="6" t="s">
        <v>343</v>
      </c>
      <c r="F70" s="24">
        <f t="shared" si="12"/>
        <v>0.05099</v>
      </c>
    </row>
    <row r="71">
      <c r="A71" s="6" t="s">
        <v>345</v>
      </c>
      <c r="B71" s="38">
        <v>1.0</v>
      </c>
      <c r="C71" s="6" t="s">
        <v>343</v>
      </c>
      <c r="D71" s="24">
        <f>'Full Inventory Cost'!K154</f>
        <v>0.01909</v>
      </c>
      <c r="E71" s="6" t="s">
        <v>343</v>
      </c>
      <c r="F71" s="24">
        <f t="shared" si="12"/>
        <v>0.01909</v>
      </c>
    </row>
    <row r="72">
      <c r="A72" s="99" t="s">
        <v>346</v>
      </c>
      <c r="B72" s="100">
        <v>1.0</v>
      </c>
      <c r="C72" s="99" t="s">
        <v>343</v>
      </c>
      <c r="D72" s="102">
        <f>'Full Inventory Cost'!K173</f>
        <v>0.04959</v>
      </c>
      <c r="E72" s="99" t="s">
        <v>343</v>
      </c>
      <c r="F72" s="24">
        <f t="shared" si="12"/>
        <v>0.04959</v>
      </c>
    </row>
    <row r="73">
      <c r="B73" s="77"/>
    </row>
    <row r="74">
      <c r="B74" s="77"/>
      <c r="E74" s="89" t="s">
        <v>347</v>
      </c>
      <c r="F74" s="90">
        <f>SUM(F64:F71)</f>
        <v>1.66521125</v>
      </c>
      <c r="G74" s="91" t="s">
        <v>348</v>
      </c>
      <c r="H74" s="91" t="s">
        <v>349</v>
      </c>
      <c r="I74" s="91" t="s">
        <v>350</v>
      </c>
      <c r="J74" s="6" t="s">
        <v>351</v>
      </c>
      <c r="K74" s="91" t="s">
        <v>352</v>
      </c>
      <c r="L74" s="103" t="s">
        <v>359</v>
      </c>
    </row>
    <row r="75">
      <c r="B75" s="77"/>
      <c r="E75" s="92" t="s">
        <v>334</v>
      </c>
      <c r="F75" s="93">
        <f>F74/B61</f>
        <v>1.66521125</v>
      </c>
      <c r="G75" s="24">
        <f>F75*5</f>
        <v>8.32605625</v>
      </c>
      <c r="H75" s="94">
        <v>7.5</v>
      </c>
      <c r="I75" s="95">
        <f>F75/H75</f>
        <v>0.2220281667</v>
      </c>
      <c r="J75" s="6">
        <v>7.5</v>
      </c>
      <c r="K75" s="96">
        <f>F75/J75</f>
        <v>0.2220281667</v>
      </c>
      <c r="L75" s="24">
        <f>J75-F75</f>
        <v>5.83478875</v>
      </c>
    </row>
    <row r="76">
      <c r="B76" s="77"/>
    </row>
    <row r="77">
      <c r="B77" s="77"/>
    </row>
    <row r="78">
      <c r="A78" s="78" t="s">
        <v>325</v>
      </c>
      <c r="B78" s="78" t="s">
        <v>360</v>
      </c>
      <c r="D78" s="76" t="s">
        <v>34</v>
      </c>
    </row>
    <row r="79">
      <c r="A79" s="22" t="s">
        <v>329</v>
      </c>
      <c r="B79" s="22">
        <v>1.0</v>
      </c>
    </row>
    <row r="80">
      <c r="B80" s="77"/>
    </row>
    <row r="81">
      <c r="A81" s="81" t="s">
        <v>332</v>
      </c>
      <c r="B81" s="82" t="s">
        <v>333</v>
      </c>
      <c r="C81" s="83"/>
      <c r="D81" s="82" t="s">
        <v>334</v>
      </c>
      <c r="E81" s="83"/>
      <c r="F81" s="81" t="s">
        <v>335</v>
      </c>
    </row>
    <row r="82">
      <c r="A82" s="84" t="s">
        <v>361</v>
      </c>
    </row>
    <row r="83">
      <c r="A83" s="6" t="s">
        <v>362</v>
      </c>
      <c r="B83" s="38">
        <v>60.0</v>
      </c>
      <c r="C83" s="6" t="s">
        <v>363</v>
      </c>
      <c r="D83" s="14">
        <f>'Full Inventory Cost'!O15</f>
        <v>0.003064427944</v>
      </c>
      <c r="E83" s="6" t="s">
        <v>363</v>
      </c>
      <c r="F83" s="24">
        <f t="shared" ref="F83:F87" si="13">B83*D83</f>
        <v>0.1838656766</v>
      </c>
    </row>
    <row r="84">
      <c r="A84" s="6" t="s">
        <v>364</v>
      </c>
      <c r="B84" s="38">
        <v>40.0</v>
      </c>
      <c r="C84" s="6" t="s">
        <v>363</v>
      </c>
      <c r="D84" s="14">
        <f>'Full Inventory Cost'!O16</f>
        <v>0.001110857266</v>
      </c>
      <c r="E84" s="6" t="s">
        <v>363</v>
      </c>
      <c r="F84" s="24">
        <f t="shared" si="13"/>
        <v>0.04443429064</v>
      </c>
    </row>
    <row r="85">
      <c r="A85" s="6" t="s">
        <v>365</v>
      </c>
      <c r="B85" s="38">
        <v>20.0</v>
      </c>
      <c r="C85" s="6" t="s">
        <v>363</v>
      </c>
      <c r="D85" s="14">
        <f>'Full Inventory Cost'!O109</f>
        <v>0.004038137063</v>
      </c>
      <c r="E85" s="6" t="s">
        <v>363</v>
      </c>
      <c r="F85" s="24">
        <f t="shared" si="13"/>
        <v>0.08076274126</v>
      </c>
    </row>
    <row r="86">
      <c r="A86" s="6" t="s">
        <v>366</v>
      </c>
      <c r="B86" s="38">
        <v>30.0</v>
      </c>
      <c r="C86" s="6" t="s">
        <v>363</v>
      </c>
      <c r="D86" s="14">
        <f>'Full Inventory Cost'!O17</f>
        <v>0.006819638206</v>
      </c>
      <c r="E86" s="6" t="s">
        <v>363</v>
      </c>
      <c r="F86" s="24">
        <f t="shared" si="13"/>
        <v>0.2045891462</v>
      </c>
    </row>
    <row r="87">
      <c r="A87" s="6" t="s">
        <v>367</v>
      </c>
      <c r="B87" s="6">
        <v>10.0</v>
      </c>
      <c r="C87" s="6" t="s">
        <v>340</v>
      </c>
      <c r="D87" s="24">
        <f>'Full Inventory Cost'!K24</f>
        <v>0.060625</v>
      </c>
      <c r="E87" s="6" t="s">
        <v>340</v>
      </c>
      <c r="F87" s="24">
        <f t="shared" si="13"/>
        <v>0.60625</v>
      </c>
    </row>
    <row r="89">
      <c r="A89" s="84" t="s">
        <v>341</v>
      </c>
    </row>
    <row r="90">
      <c r="A90" s="6" t="s">
        <v>342</v>
      </c>
      <c r="B90" s="38">
        <v>1.0</v>
      </c>
      <c r="C90" s="6" t="s">
        <v>343</v>
      </c>
      <c r="D90" s="24">
        <f>'Full Inventory Cost'!K147</f>
        <v>0.0972</v>
      </c>
      <c r="E90" s="6" t="s">
        <v>343</v>
      </c>
      <c r="F90" s="24">
        <f t="shared" ref="F90:F93" si="14">B90*D90</f>
        <v>0.0972</v>
      </c>
    </row>
    <row r="91">
      <c r="A91" s="6" t="s">
        <v>344</v>
      </c>
      <c r="B91" s="38">
        <v>1.0</v>
      </c>
      <c r="C91" s="6" t="s">
        <v>343</v>
      </c>
      <c r="D91" s="24">
        <f>'Full Inventory Cost'!K151</f>
        <v>0.05099</v>
      </c>
      <c r="E91" s="6" t="s">
        <v>343</v>
      </c>
      <c r="F91" s="24">
        <f t="shared" si="14"/>
        <v>0.05099</v>
      </c>
    </row>
    <row r="92">
      <c r="A92" s="6" t="s">
        <v>345</v>
      </c>
      <c r="B92" s="38">
        <v>1.0</v>
      </c>
      <c r="C92" s="6" t="s">
        <v>343</v>
      </c>
      <c r="D92" s="24">
        <f>'Full Inventory Cost'!K154</f>
        <v>0.01909</v>
      </c>
      <c r="E92" s="6" t="s">
        <v>343</v>
      </c>
      <c r="F92" s="24">
        <f t="shared" si="14"/>
        <v>0.01909</v>
      </c>
    </row>
    <row r="93">
      <c r="A93" s="6" t="s">
        <v>346</v>
      </c>
      <c r="B93" s="38">
        <v>1.0</v>
      </c>
      <c r="C93" s="6" t="s">
        <v>343</v>
      </c>
      <c r="D93" s="24">
        <f>'Full Inventory Cost'!K173</f>
        <v>0.04959</v>
      </c>
      <c r="E93" s="6" t="s">
        <v>343</v>
      </c>
      <c r="F93" s="24">
        <f t="shared" si="14"/>
        <v>0.04959</v>
      </c>
    </row>
    <row r="94">
      <c r="B94" s="77"/>
    </row>
    <row r="95">
      <c r="B95" s="77"/>
      <c r="E95" s="89" t="s">
        <v>347</v>
      </c>
      <c r="F95" s="90">
        <f>SUM(F82:F93)</f>
        <v>1.336771855</v>
      </c>
      <c r="G95" s="91" t="s">
        <v>348</v>
      </c>
      <c r="H95" s="91" t="s">
        <v>349</v>
      </c>
      <c r="I95" s="91" t="s">
        <v>350</v>
      </c>
      <c r="J95" s="6" t="s">
        <v>351</v>
      </c>
      <c r="K95" s="91" t="s">
        <v>352</v>
      </c>
    </row>
    <row r="96">
      <c r="B96" s="77"/>
      <c r="E96" s="92" t="s">
        <v>334</v>
      </c>
      <c r="F96" s="93">
        <f>F95/B79</f>
        <v>1.336771855</v>
      </c>
      <c r="G96" s="24">
        <f>F96*5</f>
        <v>6.683859274</v>
      </c>
      <c r="H96" s="94">
        <v>7.0</v>
      </c>
      <c r="I96" s="95">
        <f>F96/H96</f>
        <v>0.1909674078</v>
      </c>
      <c r="J96" s="6">
        <v>8.0</v>
      </c>
      <c r="K96" s="96">
        <f>F96/J96</f>
        <v>0.1670964818</v>
      </c>
      <c r="L96" s="24">
        <f>J96-F96</f>
        <v>6.663228145</v>
      </c>
    </row>
    <row r="97">
      <c r="B97" s="77"/>
    </row>
    <row r="98">
      <c r="B98" s="77"/>
      <c r="N98" s="77"/>
    </row>
    <row r="99">
      <c r="A99" s="78" t="s">
        <v>325</v>
      </c>
      <c r="B99" s="78" t="s">
        <v>368</v>
      </c>
      <c r="D99" s="76" t="s">
        <v>34</v>
      </c>
      <c r="M99" s="104" t="s">
        <v>369</v>
      </c>
      <c r="N99" s="78" t="s">
        <v>325</v>
      </c>
      <c r="O99" s="78" t="s">
        <v>368</v>
      </c>
      <c r="Q99" s="76" t="s">
        <v>34</v>
      </c>
    </row>
    <row r="100">
      <c r="A100" s="22" t="s">
        <v>329</v>
      </c>
      <c r="B100" s="22">
        <v>1.0</v>
      </c>
      <c r="N100" s="22" t="s">
        <v>329</v>
      </c>
      <c r="O100" s="22">
        <v>1.0</v>
      </c>
    </row>
    <row r="101">
      <c r="B101" s="77"/>
      <c r="O101" s="77"/>
    </row>
    <row r="102">
      <c r="A102" s="81" t="s">
        <v>332</v>
      </c>
      <c r="B102" s="82" t="s">
        <v>333</v>
      </c>
      <c r="C102" s="83"/>
      <c r="D102" s="82" t="s">
        <v>334</v>
      </c>
      <c r="E102" s="83"/>
      <c r="F102" s="81" t="s">
        <v>335</v>
      </c>
      <c r="N102" s="81" t="s">
        <v>332</v>
      </c>
      <c r="O102" s="82" t="s">
        <v>333</v>
      </c>
      <c r="P102" s="83"/>
      <c r="Q102" s="82" t="s">
        <v>334</v>
      </c>
      <c r="R102" s="83"/>
      <c r="S102" s="81" t="s">
        <v>335</v>
      </c>
    </row>
    <row r="103">
      <c r="A103" s="84" t="s">
        <v>361</v>
      </c>
      <c r="N103" s="84" t="s">
        <v>361</v>
      </c>
    </row>
    <row r="104">
      <c r="A104" s="6" t="s">
        <v>370</v>
      </c>
      <c r="B104" s="38">
        <v>75.0</v>
      </c>
      <c r="C104" s="6" t="s">
        <v>363</v>
      </c>
      <c r="D104" s="14">
        <f>'Full Inventory Cost'!O11</f>
        <v>0.00718707561</v>
      </c>
      <c r="E104" s="6" t="s">
        <v>363</v>
      </c>
      <c r="F104" s="24">
        <f t="shared" ref="F104:F107" si="15">B104*D104</f>
        <v>0.5390306707</v>
      </c>
      <c r="N104" s="6" t="s">
        <v>370</v>
      </c>
      <c r="O104" s="38">
        <v>75.0</v>
      </c>
      <c r="P104" s="6" t="s">
        <v>363</v>
      </c>
      <c r="Q104" s="105" t="str">
        <f>'Full Inventory Cost'!AA11</f>
        <v/>
      </c>
      <c r="R104" s="6" t="s">
        <v>363</v>
      </c>
      <c r="S104" s="24">
        <f t="shared" ref="S104:S107" si="16">O104*Q104</f>
        <v>0</v>
      </c>
    </row>
    <row r="105">
      <c r="A105" s="6" t="s">
        <v>371</v>
      </c>
      <c r="B105" s="38">
        <v>2.0</v>
      </c>
      <c r="C105" s="6" t="s">
        <v>372</v>
      </c>
      <c r="D105" s="14">
        <f>'Full Inventory Cost'!M12</f>
        <v>0.1251612903</v>
      </c>
      <c r="E105" s="6" t="s">
        <v>372</v>
      </c>
      <c r="F105" s="24">
        <f t="shared" si="15"/>
        <v>0.2503225806</v>
      </c>
      <c r="N105" s="6" t="s">
        <v>373</v>
      </c>
      <c r="O105" s="38">
        <v>2.0</v>
      </c>
      <c r="P105" s="6" t="s">
        <v>372</v>
      </c>
      <c r="Q105" s="105" t="str">
        <f>'Full Inventory Cost'!Y12</f>
        <v/>
      </c>
      <c r="R105" s="6" t="s">
        <v>372</v>
      </c>
      <c r="S105" s="24">
        <f t="shared" si="16"/>
        <v>0</v>
      </c>
    </row>
    <row r="106">
      <c r="A106" s="6" t="s">
        <v>374</v>
      </c>
      <c r="B106" s="6">
        <v>75.0</v>
      </c>
      <c r="C106" s="6" t="s">
        <v>363</v>
      </c>
      <c r="D106" s="14">
        <f>'Full Inventory Cost'!O16</f>
        <v>0.001110857266</v>
      </c>
      <c r="E106" s="6" t="s">
        <v>363</v>
      </c>
      <c r="F106" s="14">
        <f t="shared" si="15"/>
        <v>0.08331429495</v>
      </c>
      <c r="N106" s="6" t="s">
        <v>374</v>
      </c>
      <c r="O106" s="6">
        <v>75.0</v>
      </c>
      <c r="P106" s="6" t="s">
        <v>363</v>
      </c>
      <c r="Q106" s="105" t="str">
        <f>'Full Inventory Cost'!AA16</f>
        <v/>
      </c>
      <c r="R106" s="6" t="s">
        <v>363</v>
      </c>
      <c r="S106" s="105">
        <f t="shared" si="16"/>
        <v>0</v>
      </c>
    </row>
    <row r="107">
      <c r="A107" s="6" t="s">
        <v>375</v>
      </c>
      <c r="B107" s="38">
        <v>10.0</v>
      </c>
      <c r="C107" s="6" t="s">
        <v>340</v>
      </c>
      <c r="D107" s="24">
        <f>'Full Inventory Cost'!K23</f>
        <v>0.05234375</v>
      </c>
      <c r="E107" s="6" t="s">
        <v>340</v>
      </c>
      <c r="F107" s="24">
        <f t="shared" si="15"/>
        <v>0.5234375</v>
      </c>
      <c r="N107" s="6" t="s">
        <v>375</v>
      </c>
      <c r="O107" s="38">
        <v>10.0</v>
      </c>
      <c r="P107" s="6" t="s">
        <v>340</v>
      </c>
      <c r="Q107" s="105" t="str">
        <f>'Full Inventory Cost'!W23</f>
        <v/>
      </c>
      <c r="R107" s="6" t="s">
        <v>340</v>
      </c>
      <c r="S107" s="24">
        <f t="shared" si="16"/>
        <v>0</v>
      </c>
    </row>
    <row r="108">
      <c r="A108" s="6"/>
      <c r="B108" s="6"/>
      <c r="C108" s="6"/>
      <c r="D108" s="6"/>
      <c r="E108" s="6"/>
      <c r="F108" s="6"/>
      <c r="N108" s="6"/>
      <c r="O108" s="6"/>
      <c r="P108" s="6"/>
      <c r="Q108" s="6"/>
      <c r="R108" s="6"/>
      <c r="S108" s="6"/>
    </row>
    <row r="109">
      <c r="A109" s="84" t="s">
        <v>341</v>
      </c>
      <c r="N109" s="84" t="s">
        <v>341</v>
      </c>
    </row>
    <row r="110">
      <c r="A110" s="6" t="s">
        <v>342</v>
      </c>
      <c r="B110" s="38">
        <v>1.0</v>
      </c>
      <c r="C110" s="6" t="s">
        <v>343</v>
      </c>
      <c r="D110" s="24">
        <f>'Full Inventory Cost'!K147</f>
        <v>0.0972</v>
      </c>
      <c r="E110" s="6" t="s">
        <v>343</v>
      </c>
      <c r="F110" s="24">
        <f t="shared" ref="F110:F113" si="17">B110*D110</f>
        <v>0.0972</v>
      </c>
      <c r="N110" s="6" t="s">
        <v>342</v>
      </c>
      <c r="O110" s="38">
        <v>1.0</v>
      </c>
      <c r="P110" s="6" t="s">
        <v>343</v>
      </c>
      <c r="Q110" s="105" t="str">
        <f>'Full Inventory Cost'!W147</f>
        <v/>
      </c>
      <c r="R110" s="6" t="s">
        <v>343</v>
      </c>
      <c r="S110" s="105">
        <f t="shared" ref="S110:S113" si="18">O110*Q110</f>
        <v>0</v>
      </c>
    </row>
    <row r="111">
      <c r="A111" s="6" t="s">
        <v>344</v>
      </c>
      <c r="B111" s="38">
        <v>1.0</v>
      </c>
      <c r="C111" s="6" t="s">
        <v>343</v>
      </c>
      <c r="D111" s="24">
        <f>'Full Inventory Cost'!K151</f>
        <v>0.05099</v>
      </c>
      <c r="E111" s="6" t="s">
        <v>343</v>
      </c>
      <c r="F111" s="24">
        <f t="shared" si="17"/>
        <v>0.05099</v>
      </c>
      <c r="N111" s="6" t="s">
        <v>344</v>
      </c>
      <c r="O111" s="38">
        <v>1.0</v>
      </c>
      <c r="P111" s="6" t="s">
        <v>343</v>
      </c>
      <c r="Q111" s="105" t="str">
        <f>'Full Inventory Cost'!W151</f>
        <v/>
      </c>
      <c r="R111" s="6" t="s">
        <v>343</v>
      </c>
      <c r="S111" s="105">
        <f t="shared" si="18"/>
        <v>0</v>
      </c>
    </row>
    <row r="112">
      <c r="A112" s="6" t="s">
        <v>345</v>
      </c>
      <c r="B112" s="38">
        <v>1.0</v>
      </c>
      <c r="C112" s="6" t="s">
        <v>343</v>
      </c>
      <c r="D112" s="24">
        <f>'Full Inventory Cost'!K154</f>
        <v>0.01909</v>
      </c>
      <c r="E112" s="6" t="s">
        <v>343</v>
      </c>
      <c r="F112" s="24">
        <f t="shared" si="17"/>
        <v>0.01909</v>
      </c>
      <c r="N112" s="6" t="s">
        <v>345</v>
      </c>
      <c r="O112" s="38">
        <v>1.0</v>
      </c>
      <c r="P112" s="6" t="s">
        <v>343</v>
      </c>
      <c r="Q112" s="105" t="str">
        <f>'Full Inventory Cost'!W154</f>
        <v/>
      </c>
      <c r="R112" s="6" t="s">
        <v>343</v>
      </c>
      <c r="S112" s="105">
        <f t="shared" si="18"/>
        <v>0</v>
      </c>
    </row>
    <row r="113">
      <c r="A113" s="99" t="s">
        <v>346</v>
      </c>
      <c r="B113" s="100">
        <v>1.0</v>
      </c>
      <c r="C113" s="99" t="s">
        <v>343</v>
      </c>
      <c r="D113" s="102">
        <f>'Full Inventory Cost'!K173</f>
        <v>0.04959</v>
      </c>
      <c r="E113" s="99" t="s">
        <v>343</v>
      </c>
      <c r="F113" s="24">
        <f t="shared" si="17"/>
        <v>0.04959</v>
      </c>
      <c r="N113" s="99" t="s">
        <v>346</v>
      </c>
      <c r="O113" s="100">
        <v>1.0</v>
      </c>
      <c r="P113" s="99" t="s">
        <v>343</v>
      </c>
      <c r="Q113" s="106" t="str">
        <f>'Full Inventory Cost'!W173</f>
        <v/>
      </c>
      <c r="R113" s="99" t="s">
        <v>343</v>
      </c>
      <c r="S113" s="105">
        <f t="shared" si="18"/>
        <v>0</v>
      </c>
    </row>
    <row r="114">
      <c r="B114" s="77"/>
      <c r="O114" s="77"/>
    </row>
    <row r="115">
      <c r="B115" s="77"/>
      <c r="E115" s="89" t="s">
        <v>347</v>
      </c>
      <c r="F115" s="90">
        <f>SUM(F103:F113)</f>
        <v>1.612975046</v>
      </c>
      <c r="G115" s="91" t="s">
        <v>348</v>
      </c>
      <c r="H115" s="91" t="s">
        <v>349</v>
      </c>
      <c r="I115" s="91" t="s">
        <v>350</v>
      </c>
      <c r="J115" s="6" t="s">
        <v>351</v>
      </c>
      <c r="K115" s="91" t="s">
        <v>352</v>
      </c>
      <c r="O115" s="77"/>
      <c r="R115" s="89" t="s">
        <v>347</v>
      </c>
      <c r="S115" s="90">
        <f>SUM(S103:S113)</f>
        <v>0</v>
      </c>
      <c r="T115" s="91" t="s">
        <v>348</v>
      </c>
      <c r="U115" s="91" t="s">
        <v>376</v>
      </c>
      <c r="V115" s="91" t="s">
        <v>350</v>
      </c>
      <c r="W115" s="91" t="s">
        <v>349</v>
      </c>
      <c r="X115" s="91" t="s">
        <v>352</v>
      </c>
    </row>
    <row r="116">
      <c r="B116" s="77"/>
      <c r="E116" s="92" t="s">
        <v>334</v>
      </c>
      <c r="F116" s="93">
        <f>F115/B100</f>
        <v>1.612975046</v>
      </c>
      <c r="G116" s="24">
        <f>F116*5</f>
        <v>8.064875232</v>
      </c>
      <c r="H116" s="94">
        <v>7.5</v>
      </c>
      <c r="I116" s="95">
        <f>F116/H116</f>
        <v>0.2150633395</v>
      </c>
      <c r="J116" s="6">
        <v>8.0</v>
      </c>
      <c r="K116" s="96">
        <f>F116/J116</f>
        <v>0.2016218808</v>
      </c>
      <c r="L116" s="24">
        <f>J116-F116</f>
        <v>6.387024954</v>
      </c>
      <c r="O116" s="77"/>
      <c r="R116" s="92" t="s">
        <v>334</v>
      </c>
      <c r="S116" s="93">
        <f>S115/O100</f>
        <v>0</v>
      </c>
      <c r="T116" s="24">
        <f>S116*5</f>
        <v>0</v>
      </c>
      <c r="U116" s="21">
        <v>6.0</v>
      </c>
      <c r="V116" s="95">
        <f>S116/U116</f>
        <v>0</v>
      </c>
      <c r="W116" s="94">
        <v>7.5</v>
      </c>
      <c r="X116" s="96">
        <f>S116/W116</f>
        <v>0</v>
      </c>
    </row>
    <row r="117">
      <c r="B117" s="77"/>
    </row>
    <row r="118">
      <c r="B118" s="77"/>
    </row>
    <row r="119">
      <c r="B119" s="77"/>
    </row>
    <row r="120">
      <c r="A120" s="78" t="s">
        <v>325</v>
      </c>
      <c r="B120" s="78" t="s">
        <v>377</v>
      </c>
      <c r="D120" s="76" t="s">
        <v>378</v>
      </c>
    </row>
    <row r="121">
      <c r="A121" s="22" t="s">
        <v>329</v>
      </c>
      <c r="B121" s="22">
        <v>1.0</v>
      </c>
    </row>
    <row r="122">
      <c r="B122" s="77"/>
    </row>
    <row r="123">
      <c r="A123" s="81" t="s">
        <v>332</v>
      </c>
      <c r="B123" s="82" t="s">
        <v>333</v>
      </c>
      <c r="C123" s="83"/>
      <c r="D123" s="82" t="s">
        <v>334</v>
      </c>
      <c r="E123" s="83"/>
      <c r="F123" s="81" t="s">
        <v>335</v>
      </c>
    </row>
    <row r="124">
      <c r="A124" s="84" t="s">
        <v>361</v>
      </c>
    </row>
    <row r="125">
      <c r="A125" s="6" t="s">
        <v>379</v>
      </c>
      <c r="B125" s="38">
        <v>150.0</v>
      </c>
      <c r="C125" s="6" t="s">
        <v>363</v>
      </c>
      <c r="D125" s="60">
        <f>'Full Inventory Cost'!O9</f>
        <v>0.004841355227</v>
      </c>
      <c r="E125" s="6" t="s">
        <v>363</v>
      </c>
      <c r="F125" s="24">
        <f t="shared" ref="F125:F127" si="19">B125*D125</f>
        <v>0.726203284</v>
      </c>
    </row>
    <row r="126">
      <c r="A126" s="6" t="s">
        <v>380</v>
      </c>
      <c r="B126" s="38">
        <v>2.0</v>
      </c>
      <c r="C126" s="6" t="s">
        <v>372</v>
      </c>
      <c r="D126" s="14">
        <f>'Full Inventory Cost'!M14</f>
        <v>0.06625</v>
      </c>
      <c r="E126" s="6" t="s">
        <v>372</v>
      </c>
      <c r="F126" s="24">
        <f t="shared" si="19"/>
        <v>0.1325</v>
      </c>
    </row>
    <row r="127">
      <c r="A127" s="6" t="s">
        <v>375</v>
      </c>
      <c r="B127" s="6">
        <v>10.0</v>
      </c>
      <c r="C127" s="6" t="s">
        <v>340</v>
      </c>
      <c r="D127" s="24">
        <f>'Full Inventory Cost'!K23</f>
        <v>0.05234375</v>
      </c>
      <c r="E127" s="6" t="s">
        <v>340</v>
      </c>
      <c r="F127" s="24">
        <f t="shared" si="19"/>
        <v>0.5234375</v>
      </c>
    </row>
    <row r="129">
      <c r="A129" s="84" t="s">
        <v>341</v>
      </c>
    </row>
    <row r="130">
      <c r="A130" s="6" t="s">
        <v>342</v>
      </c>
      <c r="B130" s="38">
        <v>1.0</v>
      </c>
      <c r="C130" s="6" t="s">
        <v>343</v>
      </c>
      <c r="D130" s="24">
        <f>'Full Inventory Cost'!K147</f>
        <v>0.0972</v>
      </c>
      <c r="E130" s="6" t="s">
        <v>343</v>
      </c>
      <c r="F130" s="24">
        <f t="shared" ref="F130:F133" si="20">B130*D130</f>
        <v>0.0972</v>
      </c>
    </row>
    <row r="131">
      <c r="A131" s="6" t="s">
        <v>344</v>
      </c>
      <c r="B131" s="38">
        <v>1.0</v>
      </c>
      <c r="C131" s="6" t="s">
        <v>343</v>
      </c>
      <c r="D131" s="24">
        <f>'Full Inventory Cost'!K151</f>
        <v>0.05099</v>
      </c>
      <c r="E131" s="6" t="s">
        <v>343</v>
      </c>
      <c r="F131" s="24">
        <f t="shared" si="20"/>
        <v>0.05099</v>
      </c>
    </row>
    <row r="132">
      <c r="A132" s="6" t="s">
        <v>345</v>
      </c>
      <c r="B132" s="38">
        <v>1.0</v>
      </c>
      <c r="C132" s="6" t="s">
        <v>343</v>
      </c>
      <c r="D132" s="24">
        <f>'Full Inventory Cost'!K154</f>
        <v>0.01909</v>
      </c>
      <c r="E132" s="6" t="s">
        <v>343</v>
      </c>
      <c r="F132" s="24">
        <f t="shared" si="20"/>
        <v>0.01909</v>
      </c>
    </row>
    <row r="133">
      <c r="A133" s="99" t="s">
        <v>346</v>
      </c>
      <c r="B133" s="100">
        <v>1.0</v>
      </c>
      <c r="C133" s="99" t="s">
        <v>343</v>
      </c>
      <c r="D133" s="102">
        <f>'Full Inventory Cost'!K173</f>
        <v>0.04959</v>
      </c>
      <c r="E133" s="99" t="s">
        <v>343</v>
      </c>
      <c r="F133" s="24">
        <f t="shared" si="20"/>
        <v>0.04959</v>
      </c>
    </row>
    <row r="134">
      <c r="B134" s="77"/>
    </row>
    <row r="135">
      <c r="B135" s="77"/>
      <c r="E135" s="89" t="s">
        <v>347</v>
      </c>
      <c r="F135" s="90">
        <f>SUM(F124:F133)</f>
        <v>1.599010784</v>
      </c>
      <c r="G135" s="91" t="s">
        <v>348</v>
      </c>
      <c r="H135" s="91" t="s">
        <v>349</v>
      </c>
      <c r="I135" s="91" t="s">
        <v>350</v>
      </c>
      <c r="J135" s="6" t="s">
        <v>351</v>
      </c>
      <c r="K135" s="91" t="s">
        <v>352</v>
      </c>
    </row>
    <row r="136">
      <c r="B136" s="77"/>
      <c r="E136" s="92" t="s">
        <v>334</v>
      </c>
      <c r="F136" s="93">
        <f>F135/B121</f>
        <v>1.599010784</v>
      </c>
      <c r="G136" s="24">
        <f>F136*5</f>
        <v>7.99505392</v>
      </c>
      <c r="H136" s="94">
        <v>7.5</v>
      </c>
      <c r="I136" s="95">
        <f>F136/H136</f>
        <v>0.2132014379</v>
      </c>
      <c r="J136" s="6">
        <v>8.0</v>
      </c>
      <c r="K136" s="96">
        <f>F136/J136</f>
        <v>0.199876348</v>
      </c>
      <c r="L136" s="24">
        <f>J136-F136</f>
        <v>6.400989216</v>
      </c>
    </row>
    <row r="137">
      <c r="B137" s="77"/>
    </row>
    <row r="138">
      <c r="B138" s="77"/>
    </row>
    <row r="139">
      <c r="A139" s="107" t="s">
        <v>325</v>
      </c>
      <c r="B139" s="108" t="s">
        <v>381</v>
      </c>
      <c r="D139" s="108" t="s">
        <v>382</v>
      </c>
      <c r="E139" s="85"/>
      <c r="F139" s="85"/>
      <c r="G139" s="85"/>
      <c r="H139" s="85"/>
      <c r="I139" s="85"/>
      <c r="K139" s="85"/>
    </row>
    <row r="140">
      <c r="A140" s="41" t="s">
        <v>329</v>
      </c>
      <c r="B140" s="41">
        <v>1.0</v>
      </c>
      <c r="C140" s="41"/>
      <c r="D140" s="41"/>
      <c r="E140" s="85"/>
      <c r="F140" s="85"/>
      <c r="G140" s="85"/>
      <c r="H140" s="85"/>
      <c r="I140" s="85"/>
      <c r="K140" s="85"/>
    </row>
    <row r="141">
      <c r="A141" s="109"/>
      <c r="B141" s="109"/>
      <c r="C141" s="109"/>
      <c r="D141" s="109"/>
      <c r="E141" s="110"/>
      <c r="F141" s="110"/>
      <c r="G141" s="85"/>
      <c r="H141" s="85"/>
      <c r="I141" s="85"/>
      <c r="K141" s="85"/>
    </row>
    <row r="142">
      <c r="A142" s="111" t="s">
        <v>332</v>
      </c>
      <c r="B142" s="112" t="s">
        <v>333</v>
      </c>
      <c r="C142" s="113"/>
      <c r="D142" s="114" t="s">
        <v>334</v>
      </c>
      <c r="E142" s="113"/>
      <c r="F142" s="115" t="s">
        <v>335</v>
      </c>
      <c r="G142" s="85"/>
      <c r="H142" s="85"/>
      <c r="I142" s="85"/>
      <c r="K142" s="85"/>
    </row>
    <row r="143">
      <c r="A143" s="116" t="s">
        <v>383</v>
      </c>
      <c r="G143" s="85"/>
      <c r="H143" s="85"/>
      <c r="I143" s="85"/>
      <c r="K143" s="85"/>
    </row>
    <row r="144">
      <c r="A144" s="34" t="s">
        <v>384</v>
      </c>
      <c r="B144" s="86">
        <v>1.0</v>
      </c>
      <c r="C144" s="34" t="s">
        <v>340</v>
      </c>
      <c r="D144" s="117">
        <v>0.0291</v>
      </c>
      <c r="E144" s="34" t="s">
        <v>343</v>
      </c>
      <c r="F144" s="87">
        <f>B144*D144</f>
        <v>0.0291</v>
      </c>
      <c r="G144" s="85"/>
      <c r="H144" s="85"/>
      <c r="I144" s="85"/>
      <c r="K144" s="85"/>
    </row>
    <row r="145">
      <c r="A145" s="41"/>
      <c r="B145" s="118"/>
      <c r="C145" s="41"/>
      <c r="D145" s="119"/>
      <c r="E145" s="85"/>
      <c r="F145" s="119"/>
      <c r="G145" s="85"/>
      <c r="H145" s="85"/>
      <c r="I145" s="85"/>
      <c r="K145" s="85"/>
    </row>
    <row r="146">
      <c r="A146" s="120" t="s">
        <v>341</v>
      </c>
      <c r="G146" s="85"/>
      <c r="H146" s="85"/>
      <c r="I146" s="85"/>
      <c r="K146" s="85"/>
    </row>
    <row r="147">
      <c r="A147" s="34" t="s">
        <v>385</v>
      </c>
      <c r="B147" s="118">
        <v>1.0</v>
      </c>
      <c r="C147" s="41" t="s">
        <v>343</v>
      </c>
      <c r="D147" s="87">
        <f>'Full Inventory Cost'!K144</f>
        <v>0.068</v>
      </c>
      <c r="E147" s="85" t="s">
        <v>343</v>
      </c>
      <c r="F147" s="87">
        <f t="shared" ref="F147:F149" si="21">B147*D147</f>
        <v>0.068</v>
      </c>
      <c r="G147" s="85"/>
      <c r="H147" s="85"/>
      <c r="I147" s="85"/>
      <c r="K147" s="85"/>
    </row>
    <row r="148">
      <c r="A148" s="34" t="s">
        <v>386</v>
      </c>
      <c r="B148" s="118">
        <v>1.0</v>
      </c>
      <c r="C148" s="41" t="s">
        <v>343</v>
      </c>
      <c r="D148" s="87">
        <f>'Full Inventory Cost'!K150</f>
        <v>0.04416</v>
      </c>
      <c r="E148" s="85" t="s">
        <v>343</v>
      </c>
      <c r="F148" s="87">
        <f t="shared" si="21"/>
        <v>0.04416</v>
      </c>
      <c r="G148" s="85"/>
      <c r="H148" s="85"/>
      <c r="I148" s="85"/>
      <c r="K148" s="85"/>
    </row>
    <row r="149">
      <c r="A149" s="34" t="s">
        <v>387</v>
      </c>
      <c r="B149" s="86">
        <v>1.0</v>
      </c>
      <c r="C149" s="41" t="s">
        <v>343</v>
      </c>
      <c r="D149" s="121">
        <f>'Full Inventory Cost'!K153</f>
        <v>0.04945</v>
      </c>
      <c r="E149" s="85" t="s">
        <v>343</v>
      </c>
      <c r="F149" s="87">
        <f t="shared" si="21"/>
        <v>0.04945</v>
      </c>
      <c r="G149" s="85"/>
      <c r="H149" s="85"/>
      <c r="I149" s="85"/>
      <c r="K149" s="85"/>
    </row>
    <row r="150">
      <c r="A150" s="41"/>
      <c r="B150" s="118"/>
      <c r="C150" s="41"/>
      <c r="D150" s="41"/>
      <c r="E150" s="85"/>
      <c r="F150" s="85"/>
      <c r="G150" s="85"/>
      <c r="H150" s="85"/>
      <c r="I150" s="85"/>
      <c r="K150" s="85"/>
    </row>
    <row r="151">
      <c r="A151" s="41"/>
      <c r="B151" s="41"/>
      <c r="C151" s="41"/>
      <c r="D151" s="41"/>
      <c r="E151" s="110"/>
      <c r="F151" s="110"/>
      <c r="G151" s="110"/>
      <c r="H151" s="110"/>
      <c r="I151" s="110"/>
      <c r="K151" s="110"/>
    </row>
    <row r="152">
      <c r="A152" s="41"/>
      <c r="B152" s="41"/>
      <c r="C152" s="41"/>
      <c r="D152" s="122"/>
      <c r="E152" s="123" t="s">
        <v>347</v>
      </c>
      <c r="F152" s="124">
        <f>SUM(F143:F149)</f>
        <v>0.19071</v>
      </c>
      <c r="G152" s="125" t="s">
        <v>348</v>
      </c>
      <c r="H152" s="91" t="s">
        <v>349</v>
      </c>
      <c r="I152" s="125" t="s">
        <v>350</v>
      </c>
      <c r="J152" s="6" t="s">
        <v>351</v>
      </c>
      <c r="K152" s="91" t="s">
        <v>352</v>
      </c>
    </row>
    <row r="153">
      <c r="A153" s="41"/>
      <c r="B153" s="41"/>
      <c r="C153" s="41"/>
      <c r="D153" s="122"/>
      <c r="E153" s="126" t="s">
        <v>334</v>
      </c>
      <c r="F153" s="127">
        <f>F152/B140</f>
        <v>0.19071</v>
      </c>
      <c r="G153" s="87">
        <f>F153*5</f>
        <v>0.95355</v>
      </c>
      <c r="H153" s="128">
        <v>2.75</v>
      </c>
      <c r="I153" s="129">
        <f>F153/H153</f>
        <v>0.06934909091</v>
      </c>
      <c r="J153" s="6">
        <v>2.75</v>
      </c>
      <c r="K153" s="96">
        <f>F153/J153</f>
        <v>0.06934909091</v>
      </c>
      <c r="L153" s="24">
        <f>J153-F153</f>
        <v>2.55929</v>
      </c>
    </row>
    <row r="154">
      <c r="A154" s="107"/>
      <c r="B154" s="108"/>
      <c r="C154" s="108"/>
      <c r="D154" s="107"/>
      <c r="E154" s="85"/>
      <c r="F154" s="85"/>
      <c r="G154" s="85"/>
      <c r="H154" s="85"/>
      <c r="I154" s="85"/>
      <c r="K154" s="85"/>
    </row>
    <row r="155">
      <c r="A155" s="107"/>
      <c r="B155" s="108"/>
      <c r="C155" s="108"/>
      <c r="D155" s="107"/>
      <c r="E155" s="85"/>
      <c r="F155" s="85"/>
      <c r="G155" s="85"/>
      <c r="H155" s="85"/>
      <c r="I155" s="85"/>
      <c r="K155" s="85"/>
    </row>
    <row r="156">
      <c r="A156" s="107" t="s">
        <v>325</v>
      </c>
      <c r="B156" s="108" t="s">
        <v>388</v>
      </c>
      <c r="D156" s="107" t="s">
        <v>158</v>
      </c>
      <c r="E156" s="85"/>
      <c r="F156" s="85"/>
      <c r="G156" s="85"/>
      <c r="H156" s="85"/>
      <c r="I156" s="85"/>
      <c r="K156" s="85"/>
    </row>
    <row r="157">
      <c r="A157" s="41" t="s">
        <v>329</v>
      </c>
      <c r="B157" s="41">
        <v>1.0</v>
      </c>
      <c r="C157" s="41"/>
      <c r="D157" s="41"/>
      <c r="E157" s="85"/>
      <c r="F157" s="85"/>
      <c r="G157" s="85"/>
      <c r="H157" s="85"/>
      <c r="I157" s="85"/>
      <c r="K157" s="85"/>
    </row>
    <row r="158">
      <c r="A158" s="109"/>
      <c r="B158" s="109"/>
      <c r="C158" s="109"/>
      <c r="D158" s="109"/>
      <c r="E158" s="110"/>
      <c r="F158" s="110"/>
      <c r="G158" s="85"/>
      <c r="H158" s="85"/>
      <c r="I158" s="85"/>
      <c r="K158" s="85"/>
    </row>
    <row r="159">
      <c r="A159" s="111" t="s">
        <v>332</v>
      </c>
      <c r="B159" s="112" t="s">
        <v>333</v>
      </c>
      <c r="C159" s="113"/>
      <c r="D159" s="114" t="s">
        <v>334</v>
      </c>
      <c r="E159" s="113"/>
      <c r="F159" s="115" t="s">
        <v>335</v>
      </c>
      <c r="G159" s="85"/>
      <c r="H159" s="85"/>
      <c r="I159" s="85"/>
      <c r="K159" s="85"/>
    </row>
    <row r="160">
      <c r="A160" s="120" t="s">
        <v>336</v>
      </c>
      <c r="G160" s="85"/>
      <c r="H160" s="85"/>
      <c r="I160" s="85"/>
      <c r="K160" s="85"/>
    </row>
    <row r="161">
      <c r="A161" s="34" t="s">
        <v>389</v>
      </c>
      <c r="B161" s="86">
        <v>1.0</v>
      </c>
      <c r="C161" s="34" t="s">
        <v>343</v>
      </c>
      <c r="D161" s="117">
        <v>0.34</v>
      </c>
      <c r="E161" s="34" t="s">
        <v>343</v>
      </c>
      <c r="F161" s="87">
        <f t="shared" ref="F161:F162" si="22">B161*D161</f>
        <v>0.34</v>
      </c>
      <c r="G161" s="85"/>
      <c r="H161" s="85"/>
      <c r="I161" s="85"/>
      <c r="K161" s="85"/>
    </row>
    <row r="162">
      <c r="A162" s="41" t="s">
        <v>339</v>
      </c>
      <c r="B162" s="86">
        <v>4.0</v>
      </c>
      <c r="C162" s="41" t="s">
        <v>340</v>
      </c>
      <c r="D162" s="87">
        <f>'Full Inventory Cost'!K20</f>
        <v>0.03109375</v>
      </c>
      <c r="E162" s="85" t="s">
        <v>340</v>
      </c>
      <c r="F162" s="87">
        <f t="shared" si="22"/>
        <v>0.124375</v>
      </c>
      <c r="G162" s="85"/>
      <c r="H162" s="85"/>
      <c r="I162" s="85"/>
      <c r="K162" s="85"/>
    </row>
    <row r="163">
      <c r="A163" s="41"/>
      <c r="B163" s="118"/>
      <c r="C163" s="41"/>
      <c r="D163" s="119"/>
      <c r="E163" s="85"/>
      <c r="F163" s="119"/>
      <c r="G163" s="85"/>
      <c r="H163" s="85"/>
      <c r="I163" s="85"/>
      <c r="K163" s="85"/>
    </row>
    <row r="164">
      <c r="A164" s="120" t="s">
        <v>341</v>
      </c>
      <c r="G164" s="85"/>
      <c r="H164" s="85"/>
      <c r="I164" s="85"/>
      <c r="K164" s="85"/>
    </row>
    <row r="165">
      <c r="A165" s="41" t="s">
        <v>390</v>
      </c>
      <c r="B165" s="118">
        <v>1.0</v>
      </c>
      <c r="C165" s="41" t="s">
        <v>343</v>
      </c>
      <c r="D165" s="87">
        <f>'Full Inventory Cost'!K142</f>
        <v>0.06695945946</v>
      </c>
      <c r="E165" s="85" t="s">
        <v>343</v>
      </c>
      <c r="F165" s="87">
        <f t="shared" ref="F165:F166" si="23">B165*D165</f>
        <v>0.06695945946</v>
      </c>
      <c r="G165" s="85"/>
      <c r="H165" s="85"/>
      <c r="I165" s="85"/>
      <c r="K165" s="85"/>
    </row>
    <row r="166">
      <c r="A166" s="41" t="s">
        <v>391</v>
      </c>
      <c r="B166" s="118">
        <v>1.0</v>
      </c>
      <c r="C166" s="41" t="s">
        <v>343</v>
      </c>
      <c r="D166" s="87">
        <f>'Full Inventory Cost'!K143</f>
        <v>0.05</v>
      </c>
      <c r="E166" s="85" t="s">
        <v>343</v>
      </c>
      <c r="F166" s="87">
        <f t="shared" si="23"/>
        <v>0.05</v>
      </c>
      <c r="G166" s="85"/>
      <c r="H166" s="85"/>
      <c r="I166" s="85"/>
      <c r="K166" s="85"/>
    </row>
    <row r="167">
      <c r="A167" s="41"/>
      <c r="B167" s="118"/>
      <c r="C167" s="41"/>
      <c r="D167" s="41"/>
      <c r="E167" s="85"/>
      <c r="F167" s="85"/>
      <c r="G167" s="85"/>
      <c r="H167" s="85"/>
      <c r="I167" s="85"/>
      <c r="K167" s="85"/>
    </row>
    <row r="168">
      <c r="A168" s="41"/>
      <c r="B168" s="118"/>
      <c r="C168" s="41"/>
      <c r="D168" s="41"/>
      <c r="E168" s="85"/>
      <c r="F168" s="85"/>
      <c r="G168" s="85"/>
      <c r="H168" s="85"/>
      <c r="I168" s="85"/>
      <c r="K168" s="85"/>
    </row>
    <row r="169">
      <c r="A169" s="41"/>
      <c r="B169" s="41"/>
      <c r="C169" s="41"/>
      <c r="D169" s="41"/>
      <c r="E169" s="110"/>
      <c r="F169" s="110"/>
      <c r="G169" s="110"/>
      <c r="H169" s="110"/>
      <c r="I169" s="110"/>
      <c r="K169" s="110"/>
    </row>
    <row r="170">
      <c r="A170" s="41"/>
      <c r="B170" s="41"/>
      <c r="C170" s="41"/>
      <c r="D170" s="122"/>
      <c r="E170" s="123" t="s">
        <v>347</v>
      </c>
      <c r="F170" s="124">
        <f>SUM(F160:F167)</f>
        <v>0.5813344595</v>
      </c>
      <c r="G170" s="125" t="s">
        <v>348</v>
      </c>
      <c r="H170" s="91" t="s">
        <v>349</v>
      </c>
      <c r="I170" s="125" t="s">
        <v>350</v>
      </c>
      <c r="J170" s="6" t="s">
        <v>351</v>
      </c>
      <c r="K170" s="91" t="s">
        <v>352</v>
      </c>
    </row>
    <row r="171">
      <c r="A171" s="41"/>
      <c r="B171" s="41"/>
      <c r="C171" s="41"/>
      <c r="D171" s="122"/>
      <c r="E171" s="126" t="s">
        <v>334</v>
      </c>
      <c r="F171" s="127">
        <f>F170/B157</f>
        <v>0.5813344595</v>
      </c>
      <c r="G171" s="87">
        <f>F171*5</f>
        <v>2.906672297</v>
      </c>
      <c r="H171" s="128">
        <v>4.0</v>
      </c>
      <c r="I171" s="129">
        <f>F171/H171</f>
        <v>0.1453336149</v>
      </c>
      <c r="J171" s="6">
        <v>4.25</v>
      </c>
      <c r="K171" s="96">
        <f>F171/J171</f>
        <v>0.1367845787</v>
      </c>
      <c r="L171" s="24">
        <f>J171-F171</f>
        <v>3.668665541</v>
      </c>
    </row>
    <row r="172">
      <c r="A172" s="78"/>
      <c r="B172" s="78"/>
      <c r="C172" s="78"/>
      <c r="D172" s="76"/>
    </row>
    <row r="173">
      <c r="A173" s="78"/>
      <c r="B173" s="78"/>
      <c r="C173" s="78"/>
      <c r="D173" s="76"/>
    </row>
    <row r="174">
      <c r="A174" s="78" t="s">
        <v>325</v>
      </c>
      <c r="B174" s="78" t="s">
        <v>392</v>
      </c>
      <c r="D174" s="76" t="s">
        <v>158</v>
      </c>
    </row>
    <row r="175">
      <c r="A175" s="22" t="s">
        <v>329</v>
      </c>
      <c r="B175" s="22">
        <v>1.0</v>
      </c>
    </row>
    <row r="176">
      <c r="B176" s="77"/>
    </row>
    <row r="177">
      <c r="A177" s="81" t="s">
        <v>332</v>
      </c>
      <c r="B177" s="82" t="s">
        <v>333</v>
      </c>
      <c r="C177" s="83"/>
      <c r="D177" s="82" t="s">
        <v>334</v>
      </c>
      <c r="E177" s="83"/>
      <c r="F177" s="81" t="s">
        <v>335</v>
      </c>
    </row>
    <row r="178">
      <c r="A178" s="84" t="s">
        <v>336</v>
      </c>
    </row>
    <row r="179">
      <c r="A179" s="6" t="s">
        <v>393</v>
      </c>
      <c r="B179" s="38">
        <v>0.25</v>
      </c>
      <c r="C179" s="6" t="s">
        <v>340</v>
      </c>
      <c r="D179" s="21">
        <f>'Full Inventory Cost'!K43</f>
        <v>0.2708661417</v>
      </c>
      <c r="E179" s="6" t="s">
        <v>340</v>
      </c>
      <c r="F179" s="24">
        <f t="shared" ref="F179:F181" si="24">B179*D179</f>
        <v>0.06771653543</v>
      </c>
    </row>
    <row r="180">
      <c r="A180" s="6" t="s">
        <v>339</v>
      </c>
      <c r="B180" s="38">
        <v>8.0</v>
      </c>
      <c r="C180" s="6" t="s">
        <v>340</v>
      </c>
      <c r="D180" s="24">
        <f>'Full Inventory Cost'!K20</f>
        <v>0.03109375</v>
      </c>
      <c r="E180" s="6" t="s">
        <v>340</v>
      </c>
      <c r="F180" s="24">
        <f t="shared" si="24"/>
        <v>0.24875</v>
      </c>
    </row>
    <row r="181">
      <c r="A181" s="6" t="s">
        <v>394</v>
      </c>
      <c r="B181" s="6">
        <v>0.25</v>
      </c>
      <c r="C181" s="6" t="s">
        <v>338</v>
      </c>
      <c r="D181" s="14">
        <f>'Full Inventory Cost'!N126</f>
        <v>0.06247916667</v>
      </c>
      <c r="E181" s="6" t="s">
        <v>338</v>
      </c>
      <c r="F181" s="14">
        <f t="shared" si="24"/>
        <v>0.01561979167</v>
      </c>
    </row>
    <row r="182">
      <c r="A182" s="84" t="s">
        <v>341</v>
      </c>
    </row>
    <row r="183">
      <c r="A183" s="6" t="s">
        <v>390</v>
      </c>
      <c r="B183" s="38">
        <v>1.0</v>
      </c>
      <c r="C183" s="6" t="s">
        <v>343</v>
      </c>
      <c r="D183" s="24">
        <f>'Full Inventory Cost'!K142</f>
        <v>0.06695945946</v>
      </c>
      <c r="E183" s="6" t="s">
        <v>343</v>
      </c>
      <c r="F183" s="24">
        <f t="shared" ref="F183:F184" si="25">B183*D183</f>
        <v>0.06695945946</v>
      </c>
    </row>
    <row r="184">
      <c r="A184" s="6" t="s">
        <v>391</v>
      </c>
      <c r="B184" s="38">
        <v>1.0</v>
      </c>
      <c r="C184" s="6" t="s">
        <v>343</v>
      </c>
      <c r="D184" s="24">
        <f>'Full Inventory Cost'!K143</f>
        <v>0.05</v>
      </c>
      <c r="E184" s="6" t="s">
        <v>343</v>
      </c>
      <c r="F184" s="24">
        <f t="shared" si="25"/>
        <v>0.05</v>
      </c>
    </row>
    <row r="185">
      <c r="B185" s="38"/>
    </row>
    <row r="186">
      <c r="B186" s="38"/>
    </row>
    <row r="187">
      <c r="B187" s="77"/>
      <c r="H187" s="91"/>
    </row>
    <row r="188">
      <c r="B188" s="77"/>
      <c r="E188" s="89" t="s">
        <v>347</v>
      </c>
      <c r="F188" s="90">
        <f>SUM(F178:F185)</f>
        <v>0.4490457866</v>
      </c>
      <c r="G188" s="91" t="s">
        <v>348</v>
      </c>
      <c r="H188" s="91" t="s">
        <v>349</v>
      </c>
      <c r="I188" s="91" t="s">
        <v>350</v>
      </c>
      <c r="J188" s="6" t="s">
        <v>351</v>
      </c>
      <c r="K188" s="91" t="s">
        <v>352</v>
      </c>
    </row>
    <row r="189">
      <c r="B189" s="77"/>
      <c r="E189" s="92" t="s">
        <v>334</v>
      </c>
      <c r="F189" s="93">
        <f>F188/B175</f>
        <v>0.4490457866</v>
      </c>
      <c r="G189" s="24">
        <f>F189*5</f>
        <v>2.245228933</v>
      </c>
      <c r="H189" s="94">
        <v>3.0</v>
      </c>
      <c r="I189" s="95">
        <f>F189/H189</f>
        <v>0.1496819289</v>
      </c>
      <c r="J189" s="6">
        <v>3.0</v>
      </c>
      <c r="K189" s="96">
        <f>F189/J189</f>
        <v>0.1496819289</v>
      </c>
      <c r="L189" s="24">
        <f>J189-F189</f>
        <v>2.550954213</v>
      </c>
    </row>
    <row r="190">
      <c r="B190" s="77"/>
    </row>
    <row r="191">
      <c r="B191" s="77"/>
    </row>
    <row r="192">
      <c r="A192" s="78" t="s">
        <v>325</v>
      </c>
      <c r="B192" s="78" t="s">
        <v>395</v>
      </c>
      <c r="D192" s="76" t="s">
        <v>396</v>
      </c>
    </row>
    <row r="193">
      <c r="A193" s="22" t="s">
        <v>329</v>
      </c>
      <c r="B193" s="22">
        <v>1.0</v>
      </c>
    </row>
    <row r="194">
      <c r="B194" s="77"/>
    </row>
    <row r="195">
      <c r="A195" s="81" t="s">
        <v>332</v>
      </c>
      <c r="B195" s="82" t="s">
        <v>333</v>
      </c>
      <c r="C195" s="83"/>
      <c r="D195" s="82" t="s">
        <v>334</v>
      </c>
      <c r="E195" s="83"/>
      <c r="F195" s="81" t="s">
        <v>335</v>
      </c>
    </row>
    <row r="196">
      <c r="A196" s="84" t="s">
        <v>383</v>
      </c>
    </row>
    <row r="197">
      <c r="A197" s="6" t="s">
        <v>397</v>
      </c>
      <c r="B197" s="38">
        <v>2.0</v>
      </c>
      <c r="C197" s="6" t="s">
        <v>398</v>
      </c>
      <c r="D197" s="21">
        <f>F220</f>
        <v>0.1427517241</v>
      </c>
      <c r="E197" s="6" t="s">
        <v>398</v>
      </c>
      <c r="F197" s="24">
        <f t="shared" ref="F197:F198" si="26">B197*D197</f>
        <v>0.2855034483</v>
      </c>
    </row>
    <row r="198">
      <c r="A198" s="6" t="s">
        <v>339</v>
      </c>
      <c r="B198" s="38">
        <v>11.0</v>
      </c>
      <c r="C198" s="6" t="s">
        <v>340</v>
      </c>
      <c r="D198" s="24">
        <f>'Full Inventory Cost'!K20</f>
        <v>0.03109375</v>
      </c>
      <c r="E198" s="6" t="s">
        <v>340</v>
      </c>
      <c r="F198" s="24">
        <f t="shared" si="26"/>
        <v>0.34203125</v>
      </c>
    </row>
    <row r="200">
      <c r="A200" s="84" t="s">
        <v>341</v>
      </c>
    </row>
    <row r="201">
      <c r="A201" s="6" t="s">
        <v>385</v>
      </c>
      <c r="B201" s="38">
        <v>1.0</v>
      </c>
      <c r="C201" s="6" t="s">
        <v>343</v>
      </c>
      <c r="D201" s="24">
        <f>'Full Inventory Cost'!K144</f>
        <v>0.068</v>
      </c>
      <c r="E201" s="6" t="s">
        <v>343</v>
      </c>
      <c r="F201" s="24">
        <f t="shared" ref="F201:F203" si="27">B201*D201</f>
        <v>0.068</v>
      </c>
    </row>
    <row r="202">
      <c r="A202" s="6" t="s">
        <v>399</v>
      </c>
      <c r="B202" s="38">
        <v>1.0</v>
      </c>
      <c r="C202" s="6" t="s">
        <v>343</v>
      </c>
      <c r="D202" s="24">
        <f>'Full Inventory Cost'!K150</f>
        <v>0.04416</v>
      </c>
      <c r="E202" s="6" t="s">
        <v>343</v>
      </c>
      <c r="F202" s="24">
        <f t="shared" si="27"/>
        <v>0.04416</v>
      </c>
    </row>
    <row r="203">
      <c r="A203" s="6" t="s">
        <v>387</v>
      </c>
      <c r="B203" s="38">
        <v>1.0</v>
      </c>
      <c r="C203" s="6" t="s">
        <v>343</v>
      </c>
      <c r="D203" s="24">
        <f>'Full Inventory Cost'!K153</f>
        <v>0.04945</v>
      </c>
      <c r="E203" s="6" t="s">
        <v>343</v>
      </c>
      <c r="F203" s="24">
        <f t="shared" si="27"/>
        <v>0.04945</v>
      </c>
    </row>
    <row r="204">
      <c r="B204" s="38"/>
    </row>
    <row r="205">
      <c r="B205" s="77"/>
    </row>
    <row r="206">
      <c r="B206" s="77"/>
      <c r="E206" s="89" t="s">
        <v>347</v>
      </c>
      <c r="F206" s="90">
        <f>SUM(F196:F203)</f>
        <v>0.7891446983</v>
      </c>
      <c r="G206" s="91" t="s">
        <v>348</v>
      </c>
      <c r="H206" s="91" t="s">
        <v>349</v>
      </c>
      <c r="I206" s="91" t="s">
        <v>350</v>
      </c>
      <c r="J206" s="6" t="s">
        <v>351</v>
      </c>
      <c r="K206" s="91" t="s">
        <v>352</v>
      </c>
    </row>
    <row r="207">
      <c r="B207" s="77"/>
      <c r="E207" s="92" t="s">
        <v>334</v>
      </c>
      <c r="F207" s="93">
        <f>F206/B193</f>
        <v>0.7891446983</v>
      </c>
      <c r="G207" s="24">
        <f>F207*5</f>
        <v>3.945723491</v>
      </c>
      <c r="H207" s="94">
        <v>3.75</v>
      </c>
      <c r="I207" s="95">
        <f>F207/H207</f>
        <v>0.2104385862</v>
      </c>
      <c r="J207" s="6">
        <v>5.5</v>
      </c>
      <c r="K207" s="96">
        <f>F207/J207</f>
        <v>0.1434808542</v>
      </c>
      <c r="L207" s="24">
        <f>J207-F207</f>
        <v>4.710855302</v>
      </c>
    </row>
    <row r="208">
      <c r="B208" s="77"/>
    </row>
    <row r="209">
      <c r="B209" s="77"/>
    </row>
    <row r="210">
      <c r="A210" s="78" t="s">
        <v>325</v>
      </c>
      <c r="B210" s="78" t="s">
        <v>400</v>
      </c>
      <c r="D210" s="76" t="s">
        <v>39</v>
      </c>
    </row>
    <row r="211">
      <c r="A211" s="22" t="s">
        <v>401</v>
      </c>
      <c r="B211" s="22">
        <v>58.0</v>
      </c>
    </row>
    <row r="212">
      <c r="B212" s="77"/>
    </row>
    <row r="213">
      <c r="A213" s="81" t="s">
        <v>332</v>
      </c>
      <c r="B213" s="82" t="s">
        <v>333</v>
      </c>
      <c r="C213" s="83"/>
      <c r="D213" s="82" t="s">
        <v>334</v>
      </c>
      <c r="E213" s="83"/>
      <c r="F213" s="81" t="s">
        <v>335</v>
      </c>
    </row>
    <row r="214">
      <c r="A214" s="84" t="s">
        <v>397</v>
      </c>
    </row>
    <row r="215">
      <c r="A215" s="6" t="s">
        <v>402</v>
      </c>
      <c r="B215" s="38">
        <v>2.0</v>
      </c>
      <c r="C215" s="6" t="s">
        <v>403</v>
      </c>
      <c r="D215" s="21">
        <f>'Full Inventory Cost'!L88</f>
        <v>3.78</v>
      </c>
      <c r="E215" s="6" t="s">
        <v>403</v>
      </c>
      <c r="F215" s="24">
        <f t="shared" ref="F215:F216" si="28">B215*D215</f>
        <v>7.56</v>
      </c>
    </row>
    <row r="216">
      <c r="A216" s="6" t="s">
        <v>404</v>
      </c>
      <c r="B216" s="38">
        <v>2.0</v>
      </c>
      <c r="C216" s="6" t="s">
        <v>403</v>
      </c>
      <c r="D216" s="24">
        <f>'Full Inventory Cost'!L111</f>
        <v>0.3598</v>
      </c>
      <c r="E216" s="6" t="s">
        <v>403</v>
      </c>
      <c r="F216" s="24">
        <f t="shared" si="28"/>
        <v>0.7196</v>
      </c>
    </row>
    <row r="217">
      <c r="B217" s="38"/>
    </row>
    <row r="218">
      <c r="B218" s="77"/>
    </row>
    <row r="219">
      <c r="B219" s="77"/>
      <c r="E219" s="89" t="s">
        <v>347</v>
      </c>
      <c r="F219" s="90">
        <f>SUM(F214:F217)</f>
        <v>8.2796</v>
      </c>
    </row>
    <row r="220">
      <c r="B220" s="77"/>
      <c r="E220" s="92" t="s">
        <v>405</v>
      </c>
      <c r="F220" s="93">
        <f>F219/B211</f>
        <v>0.1427517241</v>
      </c>
    </row>
    <row r="221">
      <c r="B221" s="77"/>
    </row>
    <row r="222">
      <c r="B222" s="77"/>
    </row>
    <row r="223">
      <c r="A223" s="78" t="s">
        <v>325</v>
      </c>
      <c r="B223" s="78" t="s">
        <v>406</v>
      </c>
      <c r="D223" s="76"/>
    </row>
    <row r="224">
      <c r="A224" s="22" t="s">
        <v>329</v>
      </c>
      <c r="B224" s="22">
        <v>112.0</v>
      </c>
      <c r="C224" s="6" t="s">
        <v>340</v>
      </c>
    </row>
    <row r="225">
      <c r="B225" s="77"/>
    </row>
    <row r="226">
      <c r="A226" s="81" t="s">
        <v>332</v>
      </c>
      <c r="B226" s="82" t="s">
        <v>333</v>
      </c>
      <c r="C226" s="83"/>
      <c r="D226" s="82" t="s">
        <v>334</v>
      </c>
      <c r="E226" s="83"/>
      <c r="F226" s="81" t="s">
        <v>335</v>
      </c>
    </row>
    <row r="227">
      <c r="A227" s="84" t="s">
        <v>383</v>
      </c>
    </row>
    <row r="228">
      <c r="A228" s="6" t="s">
        <v>407</v>
      </c>
      <c r="B228" s="38">
        <v>1.0</v>
      </c>
      <c r="C228" s="6" t="s">
        <v>408</v>
      </c>
      <c r="D228" s="21">
        <f>'Full Inventory Cost'!G18</f>
        <v>4.08</v>
      </c>
      <c r="E228" s="6" t="s">
        <v>409</v>
      </c>
      <c r="F228" s="24">
        <f t="shared" ref="F228:F229" si="29">B228*D228</f>
        <v>4.08</v>
      </c>
    </row>
    <row r="229">
      <c r="A229" s="6" t="s">
        <v>404</v>
      </c>
      <c r="B229" s="38">
        <v>2.0</v>
      </c>
      <c r="C229" s="6" t="s">
        <v>410</v>
      </c>
      <c r="D229" s="24">
        <f>'Full Inventory Cost'!L111</f>
        <v>0.3598</v>
      </c>
      <c r="E229" s="6" t="s">
        <v>410</v>
      </c>
      <c r="F229" s="24">
        <f t="shared" si="29"/>
        <v>0.7196</v>
      </c>
    </row>
    <row r="230">
      <c r="A230" s="6" t="s">
        <v>411</v>
      </c>
    </row>
    <row r="231">
      <c r="B231" s="77"/>
    </row>
    <row r="232">
      <c r="B232" s="77"/>
      <c r="E232" s="89" t="s">
        <v>347</v>
      </c>
      <c r="F232" s="90">
        <f>SUM(F227:F230)</f>
        <v>4.7996</v>
      </c>
    </row>
    <row r="233">
      <c r="B233" s="77"/>
      <c r="E233" s="92" t="s">
        <v>405</v>
      </c>
      <c r="F233" s="93">
        <f>F232/B224</f>
        <v>0.04285357143</v>
      </c>
    </row>
    <row r="234">
      <c r="B234" s="77"/>
    </row>
    <row r="235">
      <c r="B235" s="77"/>
    </row>
    <row r="236">
      <c r="A236" s="78" t="s">
        <v>325</v>
      </c>
      <c r="B236" s="78" t="s">
        <v>412</v>
      </c>
      <c r="D236" s="76" t="s">
        <v>413</v>
      </c>
    </row>
    <row r="237">
      <c r="A237" s="22" t="s">
        <v>329</v>
      </c>
      <c r="B237" s="22">
        <v>1.0</v>
      </c>
    </row>
    <row r="238">
      <c r="B238" s="77"/>
    </row>
    <row r="239">
      <c r="A239" s="81" t="s">
        <v>332</v>
      </c>
      <c r="B239" s="82" t="s">
        <v>333</v>
      </c>
      <c r="C239" s="83"/>
      <c r="D239" s="82" t="s">
        <v>334</v>
      </c>
      <c r="E239" s="83"/>
      <c r="F239" s="81" t="s">
        <v>335</v>
      </c>
    </row>
    <row r="240">
      <c r="A240" s="84" t="s">
        <v>383</v>
      </c>
    </row>
    <row r="241">
      <c r="A241" s="6" t="s">
        <v>414</v>
      </c>
      <c r="B241" s="38">
        <v>8.0</v>
      </c>
      <c r="C241" s="6" t="s">
        <v>340</v>
      </c>
      <c r="D241" s="21">
        <f>F233</f>
        <v>0.04285357143</v>
      </c>
      <c r="E241" s="6" t="s">
        <v>340</v>
      </c>
      <c r="F241" s="24">
        <f>B241*D241</f>
        <v>0.3428285714</v>
      </c>
    </row>
    <row r="243">
      <c r="A243" s="84" t="s">
        <v>341</v>
      </c>
    </row>
    <row r="244">
      <c r="A244" s="6" t="s">
        <v>342</v>
      </c>
      <c r="B244" s="38">
        <v>1.0</v>
      </c>
      <c r="C244" s="6" t="s">
        <v>343</v>
      </c>
      <c r="D244" s="24">
        <f t="shared" ref="D244:D247" si="30">D130</f>
        <v>0.0972</v>
      </c>
      <c r="E244" s="6" t="s">
        <v>343</v>
      </c>
      <c r="F244" s="24">
        <f t="shared" ref="F244:F247" si="31">B244*D244</f>
        <v>0.0972</v>
      </c>
    </row>
    <row r="245">
      <c r="A245" s="6" t="s">
        <v>344</v>
      </c>
      <c r="B245" s="38">
        <v>1.0</v>
      </c>
      <c r="C245" s="6" t="s">
        <v>343</v>
      </c>
      <c r="D245" s="24">
        <f t="shared" si="30"/>
        <v>0.05099</v>
      </c>
      <c r="E245" s="6" t="s">
        <v>343</v>
      </c>
      <c r="F245" s="24">
        <f t="shared" si="31"/>
        <v>0.05099</v>
      </c>
    </row>
    <row r="246">
      <c r="A246" s="6" t="s">
        <v>345</v>
      </c>
      <c r="B246" s="38">
        <v>1.0</v>
      </c>
      <c r="C246" s="6" t="s">
        <v>343</v>
      </c>
      <c r="D246" s="24">
        <f t="shared" si="30"/>
        <v>0.01909</v>
      </c>
      <c r="E246" s="6" t="s">
        <v>343</v>
      </c>
      <c r="F246" s="24">
        <f t="shared" si="31"/>
        <v>0.01909</v>
      </c>
    </row>
    <row r="247">
      <c r="A247" s="6" t="s">
        <v>346</v>
      </c>
      <c r="B247" s="38">
        <v>1.0</v>
      </c>
      <c r="C247" s="6" t="s">
        <v>343</v>
      </c>
      <c r="D247" s="24">
        <f t="shared" si="30"/>
        <v>0.04959</v>
      </c>
      <c r="E247" s="6" t="s">
        <v>343</v>
      </c>
      <c r="F247" s="24">
        <f t="shared" si="31"/>
        <v>0.04959</v>
      </c>
    </row>
    <row r="248">
      <c r="B248" s="77"/>
    </row>
    <row r="249">
      <c r="B249" s="77"/>
      <c r="E249" s="89" t="s">
        <v>347</v>
      </c>
      <c r="F249" s="90">
        <f>SUM(F240:F247)</f>
        <v>0.5596985714</v>
      </c>
      <c r="G249" s="91" t="s">
        <v>348</v>
      </c>
      <c r="H249" s="91" t="s">
        <v>349</v>
      </c>
      <c r="I249" s="91" t="s">
        <v>350</v>
      </c>
      <c r="J249" s="6" t="s">
        <v>351</v>
      </c>
      <c r="K249" s="91" t="s">
        <v>352</v>
      </c>
    </row>
    <row r="250">
      <c r="B250" s="77"/>
      <c r="E250" s="92" t="s">
        <v>334</v>
      </c>
      <c r="F250" s="93">
        <f>F249/B237</f>
        <v>0.5596985714</v>
      </c>
      <c r="G250" s="24">
        <f>F250*5</f>
        <v>2.798492857</v>
      </c>
      <c r="H250" s="94">
        <v>5.0</v>
      </c>
      <c r="I250" s="95">
        <f>F250/H250</f>
        <v>0.1119397143</v>
      </c>
      <c r="J250" s="6">
        <v>5.5</v>
      </c>
      <c r="K250" s="96">
        <f>F250/J250</f>
        <v>0.1017633766</v>
      </c>
      <c r="L250" s="24">
        <f>J250-F250</f>
        <v>4.940301429</v>
      </c>
    </row>
    <row r="251">
      <c r="B251" s="77"/>
    </row>
    <row r="252">
      <c r="B252" s="77"/>
    </row>
    <row r="253">
      <c r="A253" s="78" t="s">
        <v>325</v>
      </c>
      <c r="B253" s="78" t="s">
        <v>412</v>
      </c>
      <c r="D253" s="76" t="s">
        <v>415</v>
      </c>
    </row>
    <row r="254">
      <c r="A254" s="22" t="s">
        <v>329</v>
      </c>
      <c r="B254" s="22">
        <v>1.0</v>
      </c>
    </row>
    <row r="255">
      <c r="B255" s="77"/>
    </row>
    <row r="256">
      <c r="A256" s="81" t="s">
        <v>332</v>
      </c>
      <c r="B256" s="82" t="s">
        <v>333</v>
      </c>
      <c r="C256" s="83"/>
      <c r="D256" s="82" t="s">
        <v>334</v>
      </c>
      <c r="E256" s="83"/>
      <c r="F256" s="81" t="s">
        <v>335</v>
      </c>
    </row>
    <row r="257">
      <c r="A257" s="84" t="s">
        <v>383</v>
      </c>
    </row>
    <row r="258">
      <c r="A258" s="6" t="s">
        <v>414</v>
      </c>
      <c r="B258" s="38">
        <v>10.0</v>
      </c>
      <c r="C258" s="6" t="s">
        <v>340</v>
      </c>
      <c r="D258" s="21">
        <f>F233</f>
        <v>0.04285357143</v>
      </c>
      <c r="E258" s="6" t="s">
        <v>340</v>
      </c>
      <c r="F258" s="24">
        <f>B258*D258</f>
        <v>0.4285357143</v>
      </c>
    </row>
    <row r="260">
      <c r="A260" s="84" t="s">
        <v>341</v>
      </c>
    </row>
    <row r="261">
      <c r="A261" s="6" t="s">
        <v>355</v>
      </c>
      <c r="B261" s="38">
        <v>1.0</v>
      </c>
      <c r="C261" s="6" t="s">
        <v>343</v>
      </c>
      <c r="D261" s="24">
        <f>'Full Inventory Cost'!K149</f>
        <v>0.1014333333</v>
      </c>
      <c r="E261" s="6" t="s">
        <v>343</v>
      </c>
      <c r="F261" s="24">
        <f t="shared" ref="F261:F264" si="32">B261*D261</f>
        <v>0.1014333333</v>
      </c>
    </row>
    <row r="262">
      <c r="A262" s="6" t="s">
        <v>344</v>
      </c>
      <c r="B262" s="38">
        <v>1.0</v>
      </c>
      <c r="C262" s="6" t="s">
        <v>343</v>
      </c>
      <c r="D262" s="24">
        <f>D183</f>
        <v>0.06695945946</v>
      </c>
      <c r="E262" s="6" t="s">
        <v>343</v>
      </c>
      <c r="F262" s="24">
        <f t="shared" si="32"/>
        <v>0.06695945946</v>
      </c>
    </row>
    <row r="263">
      <c r="A263" s="6" t="s">
        <v>345</v>
      </c>
      <c r="B263" s="38">
        <v>1.0</v>
      </c>
      <c r="C263" s="6" t="s">
        <v>343</v>
      </c>
      <c r="D263" s="24">
        <f t="shared" ref="D263:D264" si="33">D246</f>
        <v>0.01909</v>
      </c>
      <c r="E263" s="6" t="s">
        <v>343</v>
      </c>
      <c r="F263" s="24">
        <f t="shared" si="32"/>
        <v>0.01909</v>
      </c>
    </row>
    <row r="264">
      <c r="A264" s="6" t="s">
        <v>346</v>
      </c>
      <c r="B264" s="38">
        <v>1.0</v>
      </c>
      <c r="C264" s="6" t="s">
        <v>343</v>
      </c>
      <c r="D264" s="24">
        <f t="shared" si="33"/>
        <v>0.04959</v>
      </c>
      <c r="E264" s="6" t="s">
        <v>343</v>
      </c>
      <c r="F264" s="24">
        <f t="shared" si="32"/>
        <v>0.04959</v>
      </c>
    </row>
    <row r="265">
      <c r="B265" s="77"/>
    </row>
    <row r="266">
      <c r="B266" s="77"/>
      <c r="E266" s="89" t="s">
        <v>347</v>
      </c>
      <c r="F266" s="130">
        <f>SUM(F257:F264)</f>
        <v>0.6656085071</v>
      </c>
      <c r="G266" s="91" t="s">
        <v>348</v>
      </c>
      <c r="H266" s="91" t="s">
        <v>349</v>
      </c>
      <c r="I266" s="91" t="s">
        <v>350</v>
      </c>
      <c r="J266" s="6" t="s">
        <v>351</v>
      </c>
      <c r="K266" s="91" t="s">
        <v>352</v>
      </c>
    </row>
    <row r="267">
      <c r="B267" s="77"/>
      <c r="E267" s="92" t="s">
        <v>334</v>
      </c>
      <c r="F267" s="131">
        <f>F266/B254</f>
        <v>0.6656085071</v>
      </c>
      <c r="G267" s="24">
        <f>F267*5</f>
        <v>3.328042535</v>
      </c>
      <c r="H267" s="94">
        <v>5.5</v>
      </c>
      <c r="I267" s="95">
        <f>F267/H267</f>
        <v>0.1210197286</v>
      </c>
      <c r="J267" s="6">
        <v>5.5</v>
      </c>
      <c r="K267" s="96">
        <f>F267/J267</f>
        <v>0.1210197286</v>
      </c>
      <c r="L267" s="24">
        <f>J267-F267</f>
        <v>4.834391493</v>
      </c>
    </row>
    <row r="268">
      <c r="B268" s="77"/>
    </row>
    <row r="269">
      <c r="B269" s="77"/>
    </row>
    <row r="270">
      <c r="B270" s="77"/>
    </row>
    <row r="271">
      <c r="A271" s="78" t="s">
        <v>325</v>
      </c>
      <c r="B271" s="78" t="s">
        <v>416</v>
      </c>
      <c r="D271" s="76" t="s">
        <v>413</v>
      </c>
    </row>
    <row r="272">
      <c r="A272" s="22" t="s">
        <v>329</v>
      </c>
      <c r="B272" s="22">
        <v>1.0</v>
      </c>
    </row>
    <row r="273">
      <c r="B273" s="77"/>
    </row>
    <row r="274">
      <c r="A274" s="81" t="s">
        <v>332</v>
      </c>
      <c r="B274" s="82" t="s">
        <v>333</v>
      </c>
      <c r="C274" s="83"/>
      <c r="D274" s="82" t="s">
        <v>334</v>
      </c>
      <c r="E274" s="83"/>
      <c r="F274" s="81" t="s">
        <v>335</v>
      </c>
    </row>
    <row r="275">
      <c r="A275" s="84" t="s">
        <v>383</v>
      </c>
    </row>
    <row r="276">
      <c r="A276" s="6" t="s">
        <v>414</v>
      </c>
      <c r="B276" s="38">
        <v>1.0</v>
      </c>
      <c r="C276" s="6" t="s">
        <v>340</v>
      </c>
      <c r="D276" s="24">
        <f>F233</f>
        <v>0.04285357143</v>
      </c>
      <c r="E276" s="6" t="s">
        <v>340</v>
      </c>
      <c r="F276" s="24">
        <f t="shared" ref="F276:F278" si="34">B276*D276</f>
        <v>0.04285357143</v>
      </c>
    </row>
    <row r="277">
      <c r="A277" s="6" t="s">
        <v>417</v>
      </c>
      <c r="B277" s="6">
        <v>1.0</v>
      </c>
      <c r="C277" s="6" t="s">
        <v>343</v>
      </c>
      <c r="D277" s="24">
        <f>'Full Inventory Cost'!K60</f>
        <v>1.249583333</v>
      </c>
      <c r="E277" s="6" t="s">
        <v>343</v>
      </c>
      <c r="F277" s="24">
        <f t="shared" si="34"/>
        <v>1.249583333</v>
      </c>
    </row>
    <row r="278">
      <c r="A278" s="6" t="s">
        <v>418</v>
      </c>
      <c r="B278" s="6">
        <v>0.5</v>
      </c>
      <c r="C278" s="6" t="s">
        <v>340</v>
      </c>
      <c r="D278" s="24">
        <f>'Full Inventory Cost'!K55</f>
        <v>0.2909448819</v>
      </c>
      <c r="E278" s="6" t="s">
        <v>340</v>
      </c>
      <c r="F278" s="24">
        <f t="shared" si="34"/>
        <v>0.1454724409</v>
      </c>
    </row>
    <row r="280">
      <c r="A280" s="84" t="s">
        <v>341</v>
      </c>
    </row>
    <row r="281">
      <c r="A281" s="6" t="s">
        <v>342</v>
      </c>
      <c r="B281" s="38">
        <v>1.0</v>
      </c>
      <c r="C281" s="6" t="s">
        <v>343</v>
      </c>
      <c r="D281" s="24">
        <f>D130</f>
        <v>0.0972</v>
      </c>
      <c r="E281" s="6" t="s">
        <v>343</v>
      </c>
      <c r="F281" s="24">
        <f t="shared" ref="F281:F284" si="35">B281*D281</f>
        <v>0.0972</v>
      </c>
    </row>
    <row r="282">
      <c r="A282" s="6" t="s">
        <v>344</v>
      </c>
      <c r="B282" s="38">
        <v>1.0</v>
      </c>
      <c r="C282" s="6" t="s">
        <v>343</v>
      </c>
      <c r="D282" s="24">
        <f>D183</f>
        <v>0.06695945946</v>
      </c>
      <c r="E282" s="6" t="s">
        <v>343</v>
      </c>
      <c r="F282" s="24">
        <f t="shared" si="35"/>
        <v>0.06695945946</v>
      </c>
    </row>
    <row r="283">
      <c r="A283" s="6" t="s">
        <v>345</v>
      </c>
      <c r="B283" s="38">
        <v>1.0</v>
      </c>
      <c r="C283" s="6" t="s">
        <v>343</v>
      </c>
      <c r="D283" s="24">
        <f t="shared" ref="D283:D284" si="36">D246</f>
        <v>0.01909</v>
      </c>
      <c r="E283" s="6" t="s">
        <v>343</v>
      </c>
      <c r="F283" s="24">
        <f t="shared" si="35"/>
        <v>0.01909</v>
      </c>
    </row>
    <row r="284">
      <c r="A284" s="6" t="s">
        <v>346</v>
      </c>
      <c r="B284" s="38">
        <v>1.0</v>
      </c>
      <c r="C284" s="6" t="s">
        <v>343</v>
      </c>
      <c r="D284" s="24">
        <f t="shared" si="36"/>
        <v>0.04959</v>
      </c>
      <c r="E284" s="6" t="s">
        <v>343</v>
      </c>
      <c r="F284" s="24">
        <f t="shared" si="35"/>
        <v>0.04959</v>
      </c>
    </row>
    <row r="285">
      <c r="B285" s="77"/>
    </row>
    <row r="286">
      <c r="B286" s="77"/>
      <c r="E286" s="89" t="s">
        <v>347</v>
      </c>
      <c r="F286" s="90">
        <f>SUM(F275:F284)</f>
        <v>1.670748805</v>
      </c>
      <c r="G286" s="91" t="s">
        <v>348</v>
      </c>
      <c r="H286" s="91" t="s">
        <v>349</v>
      </c>
      <c r="I286" s="91" t="s">
        <v>350</v>
      </c>
      <c r="J286" s="6" t="s">
        <v>351</v>
      </c>
      <c r="K286" s="91" t="s">
        <v>352</v>
      </c>
    </row>
    <row r="287">
      <c r="B287" s="77"/>
      <c r="E287" s="92" t="s">
        <v>334</v>
      </c>
      <c r="F287" s="93">
        <f>F286/B272</f>
        <v>1.670748805</v>
      </c>
      <c r="G287" s="24">
        <f>F287*5</f>
        <v>8.353744026</v>
      </c>
      <c r="H287" s="99">
        <v>7.5</v>
      </c>
      <c r="I287" s="95">
        <f>F287/H287</f>
        <v>0.2227665074</v>
      </c>
      <c r="J287" s="6">
        <v>7.5</v>
      </c>
      <c r="K287" s="96">
        <f>F287/J287</f>
        <v>0.2227665074</v>
      </c>
      <c r="L287" s="24">
        <f>J287-F287</f>
        <v>5.829251195</v>
      </c>
    </row>
    <row r="290">
      <c r="A290" s="78" t="s">
        <v>325</v>
      </c>
      <c r="B290" s="78" t="s">
        <v>419</v>
      </c>
      <c r="D290" s="76" t="s">
        <v>34</v>
      </c>
    </row>
    <row r="291">
      <c r="A291" s="22" t="s">
        <v>329</v>
      </c>
      <c r="B291" s="22">
        <v>1.0</v>
      </c>
    </row>
    <row r="292">
      <c r="B292" s="77"/>
    </row>
    <row r="293">
      <c r="A293" s="81" t="s">
        <v>332</v>
      </c>
      <c r="B293" s="82" t="s">
        <v>333</v>
      </c>
      <c r="C293" s="83"/>
      <c r="D293" s="82" t="s">
        <v>334</v>
      </c>
      <c r="E293" s="83"/>
      <c r="F293" s="81" t="s">
        <v>335</v>
      </c>
    </row>
    <row r="294">
      <c r="A294" s="84" t="s">
        <v>383</v>
      </c>
    </row>
    <row r="295">
      <c r="A295" s="6" t="s">
        <v>339</v>
      </c>
      <c r="B295" s="38">
        <v>7.0</v>
      </c>
      <c r="C295" s="6" t="s">
        <v>340</v>
      </c>
      <c r="D295" s="21">
        <f>'Full Inventory Cost'!K20</f>
        <v>0.03109375</v>
      </c>
      <c r="E295" s="6" t="s">
        <v>340</v>
      </c>
      <c r="F295" s="24">
        <f t="shared" ref="F295:F297" si="37">B295*D295</f>
        <v>0.21765625</v>
      </c>
    </row>
    <row r="296">
      <c r="A296" s="6" t="s">
        <v>420</v>
      </c>
      <c r="B296" s="132">
        <v>8.0</v>
      </c>
      <c r="C296" s="6" t="s">
        <v>340</v>
      </c>
      <c r="D296" s="24">
        <f>'Full Inventory Cost'!K8</f>
        <v>0.10390625</v>
      </c>
      <c r="E296" s="6" t="s">
        <v>340</v>
      </c>
      <c r="F296" s="24">
        <f t="shared" si="37"/>
        <v>0.83125</v>
      </c>
    </row>
    <row r="297">
      <c r="A297" s="6" t="s">
        <v>421</v>
      </c>
      <c r="B297" s="38">
        <v>2.0</v>
      </c>
      <c r="C297" s="6" t="s">
        <v>398</v>
      </c>
      <c r="D297" s="60">
        <f>'Full Inventory Cost'!M59</f>
        <v>0.1792588496</v>
      </c>
      <c r="E297" s="6" t="s">
        <v>398</v>
      </c>
      <c r="F297" s="24">
        <f t="shared" si="37"/>
        <v>0.3585176991</v>
      </c>
    </row>
    <row r="299">
      <c r="A299" s="84" t="s">
        <v>341</v>
      </c>
    </row>
    <row r="300">
      <c r="A300" s="6" t="s">
        <v>342</v>
      </c>
      <c r="B300" s="38">
        <v>1.0</v>
      </c>
      <c r="C300" s="6" t="s">
        <v>343</v>
      </c>
      <c r="D300" s="24">
        <f>'Full Inventory Cost'!K147</f>
        <v>0.0972</v>
      </c>
      <c r="E300" s="6" t="s">
        <v>343</v>
      </c>
      <c r="F300" s="24">
        <f t="shared" ref="F300:F303" si="38">B300*D300</f>
        <v>0.0972</v>
      </c>
    </row>
    <row r="301">
      <c r="A301" s="6" t="s">
        <v>344</v>
      </c>
      <c r="B301" s="38">
        <v>1.0</v>
      </c>
      <c r="C301" s="6" t="s">
        <v>343</v>
      </c>
      <c r="D301" s="24">
        <f>'Full Inventory Cost'!K151</f>
        <v>0.05099</v>
      </c>
      <c r="E301" s="6" t="s">
        <v>343</v>
      </c>
      <c r="F301" s="24">
        <f t="shared" si="38"/>
        <v>0.05099</v>
      </c>
    </row>
    <row r="302">
      <c r="A302" s="6" t="s">
        <v>345</v>
      </c>
      <c r="B302" s="38">
        <v>1.0</v>
      </c>
      <c r="C302" s="6" t="s">
        <v>343</v>
      </c>
      <c r="D302" s="24">
        <f>'Full Inventory Cost'!K154</f>
        <v>0.01909</v>
      </c>
      <c r="E302" s="6" t="s">
        <v>343</v>
      </c>
      <c r="F302" s="24">
        <f t="shared" si="38"/>
        <v>0.01909</v>
      </c>
    </row>
    <row r="303">
      <c r="A303" s="6" t="s">
        <v>346</v>
      </c>
      <c r="B303" s="38">
        <v>0.0</v>
      </c>
      <c r="C303" s="6" t="s">
        <v>343</v>
      </c>
      <c r="D303" s="21">
        <f>'Full Inventory Cost'!K173</f>
        <v>0.04959</v>
      </c>
      <c r="E303" s="6" t="s">
        <v>343</v>
      </c>
      <c r="F303" s="24">
        <f t="shared" si="38"/>
        <v>0</v>
      </c>
    </row>
    <row r="304">
      <c r="B304" s="77"/>
    </row>
    <row r="305">
      <c r="B305" s="77"/>
      <c r="E305" s="89" t="s">
        <v>347</v>
      </c>
      <c r="F305" s="90">
        <f>SUM(F294:F303)</f>
        <v>1.574703949</v>
      </c>
      <c r="G305" s="91" t="s">
        <v>348</v>
      </c>
      <c r="H305" s="91" t="s">
        <v>349</v>
      </c>
      <c r="I305" s="91" t="s">
        <v>350</v>
      </c>
      <c r="J305" s="6" t="s">
        <v>351</v>
      </c>
      <c r="K305" s="91" t="s">
        <v>352</v>
      </c>
    </row>
    <row r="306">
      <c r="B306" s="77"/>
      <c r="E306" s="92" t="s">
        <v>334</v>
      </c>
      <c r="F306" s="93">
        <f>F305/B291</f>
        <v>1.574703949</v>
      </c>
      <c r="G306" s="24">
        <f>F306*5</f>
        <v>7.873519746</v>
      </c>
      <c r="H306" s="99">
        <v>7.0</v>
      </c>
      <c r="I306" s="95">
        <f>F306/H306</f>
        <v>0.224957707</v>
      </c>
      <c r="J306" s="6">
        <v>7.0</v>
      </c>
      <c r="K306" s="96">
        <f>F306/J306</f>
        <v>0.224957707</v>
      </c>
      <c r="L306" s="24">
        <f>J306-F306</f>
        <v>5.425296051</v>
      </c>
    </row>
    <row r="307">
      <c r="B307" s="77"/>
    </row>
    <row r="308">
      <c r="B308" s="38"/>
      <c r="F308" s="24"/>
    </row>
    <row r="309">
      <c r="A309" s="78" t="s">
        <v>325</v>
      </c>
      <c r="B309" s="78" t="s">
        <v>422</v>
      </c>
      <c r="D309" s="76" t="s">
        <v>327</v>
      </c>
    </row>
    <row r="310">
      <c r="A310" s="22" t="s">
        <v>329</v>
      </c>
      <c r="B310" s="22">
        <v>1.0</v>
      </c>
    </row>
    <row r="311">
      <c r="B311" s="77"/>
    </row>
    <row r="312">
      <c r="A312" s="81" t="s">
        <v>332</v>
      </c>
      <c r="B312" s="82" t="s">
        <v>333</v>
      </c>
      <c r="C312" s="83"/>
      <c r="D312" s="82" t="s">
        <v>334</v>
      </c>
      <c r="E312" s="83"/>
      <c r="F312" s="81" t="s">
        <v>335</v>
      </c>
    </row>
    <row r="313">
      <c r="A313" s="84" t="s">
        <v>383</v>
      </c>
    </row>
    <row r="314">
      <c r="A314" s="6" t="s">
        <v>389</v>
      </c>
      <c r="B314" s="38">
        <v>1.0</v>
      </c>
      <c r="C314" s="6" t="s">
        <v>343</v>
      </c>
      <c r="D314" s="21">
        <v>0.34</v>
      </c>
      <c r="E314" s="6" t="s">
        <v>343</v>
      </c>
      <c r="F314" s="24">
        <f t="shared" ref="F314:F316" si="39">B314*D314</f>
        <v>0.34</v>
      </c>
    </row>
    <row r="315">
      <c r="A315" s="6" t="s">
        <v>339</v>
      </c>
      <c r="B315" s="38">
        <v>10.0</v>
      </c>
      <c r="C315" s="6" t="s">
        <v>340</v>
      </c>
      <c r="D315" s="24">
        <f>'Full Inventory Cost'!K20</f>
        <v>0.03109375</v>
      </c>
      <c r="E315" s="6" t="s">
        <v>340</v>
      </c>
      <c r="F315" s="24">
        <f t="shared" si="39"/>
        <v>0.3109375</v>
      </c>
    </row>
    <row r="316">
      <c r="A316" s="6" t="s">
        <v>423</v>
      </c>
      <c r="B316" s="6">
        <v>0.5</v>
      </c>
      <c r="C316" s="6" t="s">
        <v>340</v>
      </c>
      <c r="D316" s="24">
        <f>'Full Inventory Cost'!K50</f>
        <v>0.352</v>
      </c>
      <c r="E316" s="6" t="s">
        <v>340</v>
      </c>
      <c r="F316" s="24">
        <f t="shared" si="39"/>
        <v>0.176</v>
      </c>
    </row>
    <row r="317">
      <c r="A317" s="6"/>
      <c r="B317" s="6"/>
      <c r="C317" s="6"/>
      <c r="D317" s="24"/>
      <c r="E317" s="6"/>
      <c r="F317" s="24"/>
    </row>
    <row r="318">
      <c r="A318" s="84" t="s">
        <v>341</v>
      </c>
    </row>
    <row r="319">
      <c r="A319" s="6" t="s">
        <v>342</v>
      </c>
      <c r="B319" s="38">
        <v>1.0</v>
      </c>
      <c r="C319" s="6" t="s">
        <v>343</v>
      </c>
      <c r="D319" s="24">
        <f>'Full Inventory Cost'!K147</f>
        <v>0.0972</v>
      </c>
      <c r="E319" s="6" t="s">
        <v>343</v>
      </c>
      <c r="F319" s="24">
        <f t="shared" ref="F319:F322" si="40">B319*D319</f>
        <v>0.0972</v>
      </c>
    </row>
    <row r="320">
      <c r="A320" s="6" t="s">
        <v>344</v>
      </c>
      <c r="B320" s="38">
        <v>1.0</v>
      </c>
      <c r="C320" s="6" t="s">
        <v>343</v>
      </c>
      <c r="D320" s="24">
        <f>'Full Inventory Cost'!K151</f>
        <v>0.05099</v>
      </c>
      <c r="E320" s="6" t="s">
        <v>343</v>
      </c>
      <c r="F320" s="24">
        <f t="shared" si="40"/>
        <v>0.05099</v>
      </c>
    </row>
    <row r="321">
      <c r="A321" s="6" t="s">
        <v>345</v>
      </c>
      <c r="B321" s="38">
        <v>1.0</v>
      </c>
      <c r="C321" s="6" t="s">
        <v>343</v>
      </c>
      <c r="D321" s="24">
        <f>'Full Inventory Cost'!K154</f>
        <v>0.01909</v>
      </c>
      <c r="E321" s="6" t="s">
        <v>343</v>
      </c>
      <c r="F321" s="24">
        <f t="shared" si="40"/>
        <v>0.01909</v>
      </c>
    </row>
    <row r="322">
      <c r="A322" s="6" t="s">
        <v>346</v>
      </c>
      <c r="B322" s="38">
        <v>1.0</v>
      </c>
      <c r="C322" s="6" t="s">
        <v>343</v>
      </c>
      <c r="D322" s="24">
        <f>'Full Inventory Cost'!K173</f>
        <v>0.04959</v>
      </c>
      <c r="E322" s="6" t="s">
        <v>343</v>
      </c>
      <c r="F322" s="24">
        <f t="shared" si="40"/>
        <v>0.04959</v>
      </c>
    </row>
    <row r="323">
      <c r="B323" s="77"/>
    </row>
    <row r="324">
      <c r="B324" s="77"/>
      <c r="E324" s="89" t="s">
        <v>347</v>
      </c>
      <c r="F324" s="90">
        <f>SUM(F313:F321)</f>
        <v>0.9942175</v>
      </c>
      <c r="G324" s="91" t="s">
        <v>348</v>
      </c>
      <c r="H324" s="91" t="s">
        <v>349</v>
      </c>
      <c r="I324" s="91" t="s">
        <v>350</v>
      </c>
      <c r="J324" s="6" t="s">
        <v>351</v>
      </c>
      <c r="K324" s="91" t="s">
        <v>352</v>
      </c>
    </row>
    <row r="325">
      <c r="B325" s="77"/>
      <c r="E325" s="92" t="s">
        <v>334</v>
      </c>
      <c r="F325" s="93">
        <f>F324/B310</f>
        <v>0.9942175</v>
      </c>
      <c r="G325" s="24">
        <f>F325*5</f>
        <v>4.9710875</v>
      </c>
      <c r="H325" s="94">
        <v>4.75</v>
      </c>
      <c r="I325" s="95">
        <f>F325/H325</f>
        <v>0.2093089474</v>
      </c>
      <c r="J325" s="6">
        <v>5.5</v>
      </c>
      <c r="K325" s="96">
        <f>F325/J325</f>
        <v>0.1807668182</v>
      </c>
      <c r="L325" s="24">
        <f>J325-F325</f>
        <v>4.5057825</v>
      </c>
    </row>
    <row r="326">
      <c r="B326" s="77"/>
    </row>
    <row r="327">
      <c r="B327" s="77"/>
    </row>
    <row r="328">
      <c r="A328" s="78" t="s">
        <v>325</v>
      </c>
      <c r="B328" s="78" t="s">
        <v>424</v>
      </c>
      <c r="D328" s="76" t="s">
        <v>354</v>
      </c>
    </row>
    <row r="329">
      <c r="A329" s="22" t="s">
        <v>329</v>
      </c>
      <c r="B329" s="22">
        <v>1.0</v>
      </c>
    </row>
    <row r="330">
      <c r="B330" s="77"/>
    </row>
    <row r="331">
      <c r="A331" s="81" t="s">
        <v>332</v>
      </c>
      <c r="B331" s="82" t="s">
        <v>333</v>
      </c>
      <c r="C331" s="83"/>
      <c r="D331" s="82" t="s">
        <v>334</v>
      </c>
      <c r="E331" s="83"/>
      <c r="F331" s="81" t="s">
        <v>335</v>
      </c>
    </row>
    <row r="332">
      <c r="A332" s="84" t="s">
        <v>383</v>
      </c>
    </row>
    <row r="333">
      <c r="A333" s="6" t="s">
        <v>389</v>
      </c>
      <c r="B333" s="38">
        <v>2.0</v>
      </c>
      <c r="C333" s="6" t="s">
        <v>343</v>
      </c>
      <c r="D333" s="21">
        <v>0.34</v>
      </c>
      <c r="E333" s="6" t="s">
        <v>343</v>
      </c>
      <c r="F333" s="24">
        <f t="shared" ref="F333:F335" si="41">B333*D333</f>
        <v>0.68</v>
      </c>
    </row>
    <row r="334">
      <c r="A334" s="6" t="s">
        <v>339</v>
      </c>
      <c r="B334" s="38">
        <v>14.0</v>
      </c>
      <c r="C334" s="6" t="s">
        <v>340</v>
      </c>
      <c r="D334" s="24">
        <f>'Full Inventory Cost'!K20</f>
        <v>0.03109375</v>
      </c>
      <c r="E334" s="6" t="s">
        <v>340</v>
      </c>
      <c r="F334" s="24">
        <f t="shared" si="41"/>
        <v>0.4353125</v>
      </c>
    </row>
    <row r="335">
      <c r="A335" s="6" t="s">
        <v>423</v>
      </c>
      <c r="B335" s="6">
        <v>1.0</v>
      </c>
      <c r="C335" s="6" t="s">
        <v>340</v>
      </c>
      <c r="D335" s="24">
        <f>'Full Inventory Cost'!K50</f>
        <v>0.352</v>
      </c>
      <c r="E335" s="6" t="s">
        <v>340</v>
      </c>
      <c r="F335" s="24">
        <f t="shared" si="41"/>
        <v>0.352</v>
      </c>
    </row>
    <row r="336">
      <c r="A336" s="6"/>
      <c r="B336" s="6"/>
      <c r="C336" s="6"/>
      <c r="D336" s="24"/>
      <c r="E336" s="6"/>
      <c r="F336" s="24"/>
    </row>
    <row r="337">
      <c r="A337" s="84" t="s">
        <v>341</v>
      </c>
    </row>
    <row r="338">
      <c r="A338" s="6" t="s">
        <v>355</v>
      </c>
      <c r="B338" s="38">
        <v>1.0</v>
      </c>
      <c r="C338" s="6" t="s">
        <v>343</v>
      </c>
      <c r="D338" s="24">
        <f>'Full Inventory Cost'!K149</f>
        <v>0.1014333333</v>
      </c>
      <c r="E338" s="6" t="s">
        <v>343</v>
      </c>
      <c r="F338" s="24">
        <f t="shared" ref="F338:F341" si="42">B338*D338</f>
        <v>0.1014333333</v>
      </c>
    </row>
    <row r="339">
      <c r="A339" s="6" t="s">
        <v>344</v>
      </c>
      <c r="B339" s="38">
        <v>1.0</v>
      </c>
      <c r="C339" s="6" t="s">
        <v>343</v>
      </c>
      <c r="D339" s="24">
        <f>'Full Inventory Cost'!K151</f>
        <v>0.05099</v>
      </c>
      <c r="E339" s="6" t="s">
        <v>343</v>
      </c>
      <c r="F339" s="24">
        <f t="shared" si="42"/>
        <v>0.05099</v>
      </c>
    </row>
    <row r="340">
      <c r="A340" s="6" t="s">
        <v>345</v>
      </c>
      <c r="B340" s="38">
        <v>1.0</v>
      </c>
      <c r="C340" s="6" t="s">
        <v>343</v>
      </c>
      <c r="D340" s="24">
        <f>'Full Inventory Cost'!K154</f>
        <v>0.01909</v>
      </c>
      <c r="E340" s="6" t="s">
        <v>343</v>
      </c>
      <c r="F340" s="24">
        <f t="shared" si="42"/>
        <v>0.01909</v>
      </c>
    </row>
    <row r="341">
      <c r="A341" s="6" t="s">
        <v>346</v>
      </c>
      <c r="B341" s="38">
        <v>1.0</v>
      </c>
      <c r="C341" s="6" t="s">
        <v>343</v>
      </c>
      <c r="D341" s="24">
        <f>'Full Inventory Cost'!K173</f>
        <v>0.04959</v>
      </c>
      <c r="E341" s="6" t="s">
        <v>343</v>
      </c>
      <c r="F341" s="24">
        <f t="shared" si="42"/>
        <v>0.04959</v>
      </c>
    </row>
    <row r="342">
      <c r="B342" s="77"/>
    </row>
    <row r="343">
      <c r="B343" s="77"/>
      <c r="E343" s="89" t="s">
        <v>347</v>
      </c>
      <c r="F343" s="90">
        <f>SUM(F332:F340)</f>
        <v>1.638825833</v>
      </c>
      <c r="G343" s="91" t="s">
        <v>348</v>
      </c>
      <c r="H343" s="91" t="s">
        <v>349</v>
      </c>
      <c r="I343" s="91" t="s">
        <v>350</v>
      </c>
      <c r="J343" s="6" t="s">
        <v>351</v>
      </c>
      <c r="K343" s="91" t="s">
        <v>352</v>
      </c>
    </row>
    <row r="344">
      <c r="B344" s="77"/>
      <c r="E344" s="92" t="s">
        <v>334</v>
      </c>
      <c r="F344" s="93">
        <f>F343/B329</f>
        <v>1.638825833</v>
      </c>
      <c r="G344" s="24">
        <f>F344*5</f>
        <v>8.194129167</v>
      </c>
      <c r="H344" s="99">
        <v>6.5</v>
      </c>
      <c r="I344" s="95">
        <f>F344/H344</f>
        <v>0.2521270513</v>
      </c>
      <c r="J344" s="6">
        <v>7.0</v>
      </c>
      <c r="K344" s="96">
        <f>F344/J344</f>
        <v>0.2341179762</v>
      </c>
      <c r="L344" s="24">
        <f>J344-F344</f>
        <v>5.361174167</v>
      </c>
    </row>
    <row r="345">
      <c r="B345" s="77"/>
      <c r="H345" s="133" t="s">
        <v>425</v>
      </c>
    </row>
    <row r="346">
      <c r="A346" s="78" t="s">
        <v>325</v>
      </c>
      <c r="B346" s="78" t="s">
        <v>426</v>
      </c>
      <c r="D346" s="76" t="s">
        <v>354</v>
      </c>
    </row>
    <row r="347">
      <c r="A347" s="22" t="s">
        <v>329</v>
      </c>
      <c r="B347" s="22">
        <v>1.0</v>
      </c>
    </row>
    <row r="348">
      <c r="B348" s="77"/>
    </row>
    <row r="349">
      <c r="A349" s="81" t="s">
        <v>332</v>
      </c>
      <c r="B349" s="82" t="s">
        <v>333</v>
      </c>
      <c r="C349" s="83"/>
      <c r="D349" s="82" t="s">
        <v>334</v>
      </c>
      <c r="E349" s="83"/>
      <c r="F349" s="81" t="s">
        <v>335</v>
      </c>
    </row>
    <row r="350">
      <c r="A350" s="84" t="s">
        <v>383</v>
      </c>
    </row>
    <row r="351">
      <c r="A351" s="6" t="s">
        <v>427</v>
      </c>
      <c r="B351" s="38">
        <v>0.75</v>
      </c>
      <c r="C351" s="6" t="s">
        <v>343</v>
      </c>
      <c r="D351" s="21">
        <v>1.5</v>
      </c>
      <c r="E351" s="6" t="s">
        <v>343</v>
      </c>
      <c r="F351" s="24">
        <f t="shared" ref="F351:F352" si="43">B351*D351</f>
        <v>1.125</v>
      </c>
    </row>
    <row r="352">
      <c r="A352" s="6" t="s">
        <v>428</v>
      </c>
      <c r="B352" s="38">
        <v>2.0</v>
      </c>
      <c r="C352" s="6" t="s">
        <v>363</v>
      </c>
      <c r="D352" s="134">
        <f>'Full Inventory Cost'!O66</f>
        <v>0.003789198222</v>
      </c>
      <c r="E352" s="6" t="s">
        <v>363</v>
      </c>
      <c r="F352" s="24">
        <f t="shared" si="43"/>
        <v>0.007578396444</v>
      </c>
    </row>
    <row r="353">
      <c r="D353" s="24"/>
      <c r="F353" s="24"/>
    </row>
    <row r="354">
      <c r="A354" s="6"/>
      <c r="B354" s="6"/>
      <c r="C354" s="6"/>
      <c r="D354" s="24"/>
      <c r="E354" s="6"/>
      <c r="F354" s="24"/>
    </row>
    <row r="355">
      <c r="A355" s="84" t="s">
        <v>341</v>
      </c>
    </row>
    <row r="356">
      <c r="A356" s="6" t="s">
        <v>355</v>
      </c>
      <c r="B356" s="38">
        <v>1.0</v>
      </c>
      <c r="C356" s="6" t="s">
        <v>343</v>
      </c>
      <c r="D356" s="24">
        <f t="shared" ref="D356:D359" si="44">D338</f>
        <v>0.1014333333</v>
      </c>
      <c r="E356" s="6" t="s">
        <v>343</v>
      </c>
      <c r="F356" s="24">
        <f t="shared" ref="F356:F359" si="45">B356*D356</f>
        <v>0.1014333333</v>
      </c>
    </row>
    <row r="357">
      <c r="A357" s="6" t="s">
        <v>344</v>
      </c>
      <c r="B357" s="38">
        <v>1.0</v>
      </c>
      <c r="C357" s="6" t="s">
        <v>343</v>
      </c>
      <c r="D357" s="24">
        <f t="shared" si="44"/>
        <v>0.05099</v>
      </c>
      <c r="E357" s="6" t="s">
        <v>343</v>
      </c>
      <c r="F357" s="24">
        <f t="shared" si="45"/>
        <v>0.05099</v>
      </c>
    </row>
    <row r="358">
      <c r="A358" s="6" t="s">
        <v>345</v>
      </c>
      <c r="B358" s="38">
        <v>1.0</v>
      </c>
      <c r="C358" s="6" t="s">
        <v>343</v>
      </c>
      <c r="D358" s="24">
        <f t="shared" si="44"/>
        <v>0.01909</v>
      </c>
      <c r="E358" s="6" t="s">
        <v>343</v>
      </c>
      <c r="F358" s="24">
        <f t="shared" si="45"/>
        <v>0.01909</v>
      </c>
    </row>
    <row r="359">
      <c r="A359" s="6" t="s">
        <v>346</v>
      </c>
      <c r="B359" s="38">
        <v>1.0</v>
      </c>
      <c r="C359" s="6" t="s">
        <v>343</v>
      </c>
      <c r="D359" s="24">
        <f t="shared" si="44"/>
        <v>0.04959</v>
      </c>
      <c r="E359" s="6" t="s">
        <v>343</v>
      </c>
      <c r="F359" s="24">
        <f t="shared" si="45"/>
        <v>0.04959</v>
      </c>
    </row>
    <row r="360">
      <c r="B360" s="77"/>
    </row>
    <row r="361">
      <c r="B361" s="77"/>
      <c r="E361" s="89" t="s">
        <v>347</v>
      </c>
      <c r="F361" s="90">
        <f>SUM(F350:F358)</f>
        <v>1.30409173</v>
      </c>
      <c r="G361" s="91" t="s">
        <v>348</v>
      </c>
      <c r="H361" s="91" t="s">
        <v>349</v>
      </c>
      <c r="I361" s="91" t="s">
        <v>350</v>
      </c>
      <c r="J361" s="6" t="s">
        <v>351</v>
      </c>
      <c r="K361" s="91" t="s">
        <v>352</v>
      </c>
    </row>
    <row r="362">
      <c r="B362" s="77"/>
      <c r="E362" s="92" t="s">
        <v>334</v>
      </c>
      <c r="F362" s="93">
        <f>F361/B347</f>
        <v>1.30409173</v>
      </c>
      <c r="G362" s="24">
        <f>F362*5</f>
        <v>6.520458649</v>
      </c>
      <c r="H362" s="94">
        <v>6.75</v>
      </c>
      <c r="I362" s="95">
        <f>F362/H362</f>
        <v>0.1931987748</v>
      </c>
      <c r="J362" s="6">
        <v>6.75</v>
      </c>
      <c r="K362" s="96">
        <f>F362/J362</f>
        <v>0.1931987748</v>
      </c>
      <c r="L362" s="24">
        <f>J362-F362</f>
        <v>5.44590827</v>
      </c>
    </row>
    <row r="363">
      <c r="B363" s="77"/>
    </row>
    <row r="364">
      <c r="B364" s="77"/>
    </row>
    <row r="365">
      <c r="A365" s="78" t="s">
        <v>325</v>
      </c>
      <c r="B365" s="78" t="s">
        <v>429</v>
      </c>
      <c r="D365" s="76" t="s">
        <v>378</v>
      </c>
    </row>
    <row r="366">
      <c r="A366" s="22" t="s">
        <v>329</v>
      </c>
      <c r="B366" s="22">
        <v>1.0</v>
      </c>
    </row>
    <row r="367">
      <c r="B367" s="77"/>
    </row>
    <row r="368">
      <c r="A368" s="81" t="s">
        <v>332</v>
      </c>
      <c r="B368" s="82" t="s">
        <v>333</v>
      </c>
      <c r="C368" s="83"/>
      <c r="D368" s="82" t="s">
        <v>334</v>
      </c>
      <c r="E368" s="83"/>
      <c r="F368" s="81" t="s">
        <v>335</v>
      </c>
    </row>
    <row r="369">
      <c r="A369" s="84" t="s">
        <v>383</v>
      </c>
    </row>
    <row r="370">
      <c r="A370" s="6" t="s">
        <v>430</v>
      </c>
      <c r="B370" s="38">
        <v>1.0</v>
      </c>
      <c r="C370" s="6" t="s">
        <v>343</v>
      </c>
      <c r="D370" s="21">
        <v>0.5</v>
      </c>
      <c r="E370" s="6" t="s">
        <v>343</v>
      </c>
      <c r="F370" s="24">
        <f t="shared" ref="F370:F374" si="46">B370*D370</f>
        <v>0.5</v>
      </c>
    </row>
    <row r="371">
      <c r="A371" s="6" t="s">
        <v>431</v>
      </c>
      <c r="B371" s="38">
        <v>8.0</v>
      </c>
      <c r="C371" s="6" t="s">
        <v>340</v>
      </c>
      <c r="D371" s="134">
        <f>'Full Inventory Cost'!K20</f>
        <v>0.03109375</v>
      </c>
      <c r="E371" s="6" t="s">
        <v>340</v>
      </c>
      <c r="F371" s="24">
        <f t="shared" si="46"/>
        <v>0.24875</v>
      </c>
    </row>
    <row r="372">
      <c r="A372" s="6" t="s">
        <v>421</v>
      </c>
      <c r="B372" s="6">
        <v>2.0</v>
      </c>
      <c r="C372" s="6" t="s">
        <v>398</v>
      </c>
      <c r="D372" s="60">
        <f>'Full Inventory Cost'!M59</f>
        <v>0.1792588496</v>
      </c>
      <c r="E372" s="6" t="s">
        <v>398</v>
      </c>
      <c r="F372" s="24">
        <f t="shared" si="46"/>
        <v>0.3585176991</v>
      </c>
    </row>
    <row r="373">
      <c r="A373" s="6" t="s">
        <v>432</v>
      </c>
      <c r="B373" s="6">
        <v>0.0</v>
      </c>
      <c r="C373" s="6" t="s">
        <v>398</v>
      </c>
      <c r="D373" s="14">
        <f>D372</f>
        <v>0.1792588496</v>
      </c>
      <c r="E373" s="6" t="s">
        <v>398</v>
      </c>
      <c r="F373" s="24">
        <f t="shared" si="46"/>
        <v>0</v>
      </c>
    </row>
    <row r="374">
      <c r="A374" s="6" t="s">
        <v>433</v>
      </c>
      <c r="B374" s="6">
        <v>1.0</v>
      </c>
      <c r="C374" s="6" t="s">
        <v>343</v>
      </c>
      <c r="D374" s="24">
        <f>'Full Inventory Cost'!K132</f>
        <v>0.07695</v>
      </c>
      <c r="E374" s="6" t="s">
        <v>343</v>
      </c>
      <c r="F374" s="24">
        <f t="shared" si="46"/>
        <v>0.07695</v>
      </c>
    </row>
    <row r="375">
      <c r="A375" s="6"/>
      <c r="B375" s="6"/>
      <c r="C375" s="6"/>
      <c r="D375" s="24"/>
      <c r="E375" s="6"/>
      <c r="F375" s="24"/>
    </row>
    <row r="376">
      <c r="A376" s="84" t="s">
        <v>341</v>
      </c>
    </row>
    <row r="377">
      <c r="A377" s="6" t="s">
        <v>342</v>
      </c>
      <c r="B377" s="38">
        <v>1.0</v>
      </c>
      <c r="C377" s="6" t="s">
        <v>343</v>
      </c>
      <c r="D377" s="24">
        <f>'Full Inventory Cost'!K147</f>
        <v>0.0972</v>
      </c>
      <c r="E377" s="6" t="s">
        <v>343</v>
      </c>
      <c r="F377" s="24">
        <f t="shared" ref="F377:F380" si="47">B377*D377</f>
        <v>0.0972</v>
      </c>
    </row>
    <row r="378">
      <c r="A378" s="6" t="s">
        <v>434</v>
      </c>
      <c r="B378" s="38">
        <v>1.0</v>
      </c>
      <c r="C378" s="6" t="s">
        <v>343</v>
      </c>
      <c r="D378" s="24">
        <f>'Full Inventory Cost'!K152</f>
        <v>0.063</v>
      </c>
      <c r="E378" s="6" t="s">
        <v>343</v>
      </c>
      <c r="F378" s="24">
        <f t="shared" si="47"/>
        <v>0.063</v>
      </c>
    </row>
    <row r="379">
      <c r="A379" s="6" t="s">
        <v>345</v>
      </c>
      <c r="B379" s="38">
        <v>1.0</v>
      </c>
      <c r="C379" s="6" t="s">
        <v>343</v>
      </c>
      <c r="D379" s="24">
        <f>'Full Inventory Cost'!K154</f>
        <v>0.01909</v>
      </c>
      <c r="E379" s="6" t="s">
        <v>343</v>
      </c>
      <c r="F379" s="24">
        <f t="shared" si="47"/>
        <v>0.01909</v>
      </c>
    </row>
    <row r="380">
      <c r="A380" s="6" t="s">
        <v>346</v>
      </c>
      <c r="B380" s="38">
        <v>1.0</v>
      </c>
      <c r="C380" s="6" t="s">
        <v>343</v>
      </c>
      <c r="D380" s="24">
        <f>'Full Inventory Cost'!K173</f>
        <v>0.04959</v>
      </c>
      <c r="E380" s="6" t="s">
        <v>343</v>
      </c>
      <c r="F380" s="24">
        <f t="shared" si="47"/>
        <v>0.04959</v>
      </c>
    </row>
    <row r="381">
      <c r="B381" s="77"/>
    </row>
    <row r="382">
      <c r="B382" s="77"/>
      <c r="E382" s="89" t="s">
        <v>347</v>
      </c>
      <c r="F382" s="90">
        <f>SUM(F369:F379)</f>
        <v>1.363507699</v>
      </c>
      <c r="G382" s="91" t="s">
        <v>348</v>
      </c>
      <c r="H382" s="91" t="s">
        <v>349</v>
      </c>
      <c r="I382" s="91" t="s">
        <v>350</v>
      </c>
      <c r="J382" s="6" t="s">
        <v>351</v>
      </c>
      <c r="K382" s="91" t="s">
        <v>352</v>
      </c>
    </row>
    <row r="383">
      <c r="B383" s="77"/>
      <c r="E383" s="92" t="s">
        <v>334</v>
      </c>
      <c r="F383" s="93">
        <f>F382/B366</f>
        <v>1.363507699</v>
      </c>
      <c r="G383" s="24">
        <f>F383*5</f>
        <v>6.817538496</v>
      </c>
      <c r="H383" s="94">
        <v>7.0</v>
      </c>
      <c r="I383" s="95">
        <f>F383/H383</f>
        <v>0.1947868142</v>
      </c>
      <c r="J383" s="6">
        <v>7.0</v>
      </c>
      <c r="K383" s="96">
        <f>F383/J383</f>
        <v>0.1947868142</v>
      </c>
      <c r="L383" s="24">
        <f>J383-F383</f>
        <v>5.636492301</v>
      </c>
    </row>
    <row r="384">
      <c r="B384" s="77"/>
    </row>
    <row r="385">
      <c r="B385" s="77"/>
    </row>
    <row r="386">
      <c r="A386" s="78" t="s">
        <v>325</v>
      </c>
      <c r="B386" s="78" t="s">
        <v>435</v>
      </c>
      <c r="D386" s="76" t="s">
        <v>436</v>
      </c>
    </row>
    <row r="387">
      <c r="A387" s="22" t="s">
        <v>329</v>
      </c>
      <c r="B387" s="22">
        <v>1.0</v>
      </c>
    </row>
    <row r="388">
      <c r="B388" s="77"/>
    </row>
    <row r="389">
      <c r="A389" s="81" t="s">
        <v>332</v>
      </c>
      <c r="B389" s="82" t="s">
        <v>333</v>
      </c>
      <c r="C389" s="83"/>
      <c r="D389" s="82" t="s">
        <v>334</v>
      </c>
      <c r="E389" s="83"/>
      <c r="F389" s="81" t="s">
        <v>335</v>
      </c>
    </row>
    <row r="390">
      <c r="A390" s="84" t="s">
        <v>383</v>
      </c>
    </row>
    <row r="391">
      <c r="A391" s="6" t="s">
        <v>437</v>
      </c>
      <c r="B391" s="38">
        <v>1.0</v>
      </c>
      <c r="C391" s="6" t="s">
        <v>343</v>
      </c>
      <c r="D391" s="21">
        <v>0.34</v>
      </c>
      <c r="E391" s="6" t="s">
        <v>343</v>
      </c>
      <c r="F391" s="24">
        <f t="shared" ref="F391:F393" si="48">B391*D391</f>
        <v>0.34</v>
      </c>
    </row>
    <row r="392">
      <c r="A392" s="6" t="s">
        <v>421</v>
      </c>
      <c r="B392" s="6">
        <v>1.0</v>
      </c>
      <c r="C392" s="6" t="s">
        <v>398</v>
      </c>
      <c r="D392" s="60">
        <f>'Full Inventory Cost'!M59</f>
        <v>0.1792588496</v>
      </c>
      <c r="E392" s="6" t="s">
        <v>398</v>
      </c>
      <c r="F392" s="24">
        <f t="shared" si="48"/>
        <v>0.1792588496</v>
      </c>
    </row>
    <row r="393">
      <c r="A393" s="6" t="s">
        <v>420</v>
      </c>
      <c r="B393" s="6">
        <v>8.0</v>
      </c>
      <c r="C393" s="6" t="s">
        <v>340</v>
      </c>
      <c r="D393" s="21">
        <f>'Full Inventory Cost'!K8</f>
        <v>0.10390625</v>
      </c>
      <c r="E393" s="6" t="s">
        <v>340</v>
      </c>
      <c r="F393" s="24">
        <f t="shared" si="48"/>
        <v>0.83125</v>
      </c>
    </row>
    <row r="394">
      <c r="A394" s="6"/>
      <c r="B394" s="6"/>
      <c r="C394" s="6"/>
      <c r="D394" s="24"/>
      <c r="E394" s="6"/>
      <c r="F394" s="24"/>
    </row>
    <row r="395">
      <c r="A395" s="84" t="s">
        <v>341</v>
      </c>
    </row>
    <row r="396">
      <c r="A396" s="6" t="s">
        <v>438</v>
      </c>
      <c r="B396" s="38">
        <v>1.0</v>
      </c>
      <c r="C396" s="6" t="s">
        <v>343</v>
      </c>
      <c r="D396" s="24">
        <f>'Full Inventory Cost'!K142</f>
        <v>0.06695945946</v>
      </c>
      <c r="E396" s="6" t="s">
        <v>343</v>
      </c>
      <c r="F396" s="24">
        <f t="shared" ref="F396:F399" si="49">B396*D396</f>
        <v>0.06695945946</v>
      </c>
    </row>
    <row r="397">
      <c r="A397" s="6" t="s">
        <v>439</v>
      </c>
      <c r="B397" s="38">
        <v>1.0</v>
      </c>
      <c r="C397" s="6" t="s">
        <v>343</v>
      </c>
      <c r="D397" s="24">
        <f>'Full Inventory Cost'!K172</f>
        <v>0.02149</v>
      </c>
      <c r="E397" s="6" t="s">
        <v>343</v>
      </c>
      <c r="F397" s="24">
        <f t="shared" si="49"/>
        <v>0.02149</v>
      </c>
    </row>
    <row r="398">
      <c r="A398" s="6" t="s">
        <v>440</v>
      </c>
      <c r="B398" s="38">
        <v>1.0</v>
      </c>
      <c r="C398" s="6" t="s">
        <v>343</v>
      </c>
      <c r="D398" s="24">
        <f>'Full Inventory Cost'!K172</f>
        <v>0.02149</v>
      </c>
      <c r="E398" s="6" t="s">
        <v>343</v>
      </c>
      <c r="F398" s="24">
        <f t="shared" si="49"/>
        <v>0.02149</v>
      </c>
    </row>
    <row r="399">
      <c r="A399" s="6" t="s">
        <v>441</v>
      </c>
      <c r="B399" s="38">
        <v>2.0</v>
      </c>
      <c r="C399" s="6" t="s">
        <v>343</v>
      </c>
      <c r="D399" s="24">
        <f>'Full Inventory Cost'!K157</f>
        <v>0.00727</v>
      </c>
      <c r="E399" s="6" t="s">
        <v>343</v>
      </c>
      <c r="F399" s="24">
        <f t="shared" si="49"/>
        <v>0.01454</v>
      </c>
    </row>
    <row r="400">
      <c r="B400" s="77"/>
    </row>
    <row r="401">
      <c r="B401" s="77"/>
      <c r="E401" s="89" t="s">
        <v>347</v>
      </c>
      <c r="F401" s="90">
        <f>SUM(F390:F398)</f>
        <v>1.460448309</v>
      </c>
      <c r="G401" s="91" t="s">
        <v>348</v>
      </c>
      <c r="H401" s="91" t="s">
        <v>349</v>
      </c>
      <c r="I401" s="91" t="s">
        <v>350</v>
      </c>
      <c r="J401" s="6" t="s">
        <v>351</v>
      </c>
      <c r="K401" s="91" t="s">
        <v>352</v>
      </c>
    </row>
    <row r="402">
      <c r="B402" s="77"/>
      <c r="E402" s="92" t="s">
        <v>334</v>
      </c>
      <c r="F402" s="93">
        <f>F401/B387</f>
        <v>1.460448309</v>
      </c>
      <c r="G402" s="24">
        <f>F402*5</f>
        <v>7.302241545</v>
      </c>
      <c r="H402" s="94">
        <v>6.75</v>
      </c>
      <c r="I402" s="95">
        <f>F402/H402</f>
        <v>0.2163627124</v>
      </c>
      <c r="J402" s="6">
        <v>6.75</v>
      </c>
      <c r="K402" s="96">
        <f>F402/J402</f>
        <v>0.2163627124</v>
      </c>
      <c r="L402" s="24">
        <f>J402-F402</f>
        <v>5.289551691</v>
      </c>
    </row>
    <row r="403">
      <c r="B403" s="77"/>
    </row>
    <row r="405">
      <c r="A405" s="76" t="s">
        <v>442</v>
      </c>
      <c r="B405" s="77"/>
    </row>
    <row r="406">
      <c r="A406" s="80"/>
      <c r="B406" s="135"/>
      <c r="C406" s="80"/>
      <c r="D406" s="80"/>
      <c r="E406" s="80"/>
      <c r="F406" s="80"/>
      <c r="G406" s="80"/>
      <c r="H406" s="80"/>
      <c r="I406" s="80"/>
      <c r="K406" s="80"/>
      <c r="M406" s="80"/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</row>
    <row r="407">
      <c r="A407" s="78"/>
      <c r="B407" s="78"/>
      <c r="C407" s="136"/>
    </row>
    <row r="408">
      <c r="A408" s="78" t="s">
        <v>325</v>
      </c>
      <c r="B408" s="78" t="s">
        <v>443</v>
      </c>
      <c r="C408" s="136"/>
    </row>
    <row r="409">
      <c r="A409" s="22" t="s">
        <v>329</v>
      </c>
      <c r="B409" s="22">
        <v>1.0</v>
      </c>
      <c r="C409" s="6" t="s">
        <v>34</v>
      </c>
    </row>
    <row r="410">
      <c r="B410" s="77"/>
    </row>
    <row r="411">
      <c r="A411" s="81" t="s">
        <v>332</v>
      </c>
      <c r="B411" s="82" t="s">
        <v>333</v>
      </c>
      <c r="C411" s="83"/>
      <c r="D411" s="82" t="s">
        <v>334</v>
      </c>
      <c r="E411" s="83"/>
      <c r="F411" s="81" t="s">
        <v>335</v>
      </c>
    </row>
    <row r="412">
      <c r="A412" s="84" t="s">
        <v>383</v>
      </c>
    </row>
    <row r="413">
      <c r="A413" s="6" t="s">
        <v>444</v>
      </c>
      <c r="B413" s="38">
        <v>0.75</v>
      </c>
      <c r="C413" s="6" t="s">
        <v>340</v>
      </c>
      <c r="D413" s="60">
        <v>0.3</v>
      </c>
      <c r="E413" s="6" t="s">
        <v>340</v>
      </c>
      <c r="F413" s="24">
        <f t="shared" ref="F413:F417" si="50">B413*D413</f>
        <v>0.225</v>
      </c>
    </row>
    <row r="414">
      <c r="A414" s="6" t="s">
        <v>445</v>
      </c>
      <c r="B414" s="38">
        <v>1.0</v>
      </c>
      <c r="C414" s="6" t="s">
        <v>343</v>
      </c>
      <c r="D414" s="60">
        <v>0.61</v>
      </c>
      <c r="E414" s="6" t="s">
        <v>343</v>
      </c>
      <c r="F414" s="24">
        <f t="shared" si="50"/>
        <v>0.61</v>
      </c>
    </row>
    <row r="415">
      <c r="A415" s="6" t="s">
        <v>414</v>
      </c>
      <c r="B415" s="38">
        <v>1.0</v>
      </c>
      <c r="C415" s="6" t="s">
        <v>446</v>
      </c>
      <c r="D415" s="60">
        <v>0.04</v>
      </c>
      <c r="E415" s="6" t="s">
        <v>340</v>
      </c>
      <c r="F415" s="24">
        <f t="shared" si="50"/>
        <v>0.04</v>
      </c>
    </row>
    <row r="416">
      <c r="A416" s="22" t="s">
        <v>447</v>
      </c>
      <c r="B416" s="38">
        <v>2.0</v>
      </c>
      <c r="C416" s="6" t="s">
        <v>448</v>
      </c>
      <c r="D416" s="60">
        <v>0.02</v>
      </c>
      <c r="E416" s="6" t="s">
        <v>448</v>
      </c>
      <c r="F416" s="24">
        <f t="shared" si="50"/>
        <v>0.04</v>
      </c>
    </row>
    <row r="417">
      <c r="A417" s="22" t="s">
        <v>449</v>
      </c>
      <c r="B417" s="38">
        <v>1.0</v>
      </c>
      <c r="C417" s="6" t="s">
        <v>450</v>
      </c>
      <c r="D417" s="60">
        <v>0.09</v>
      </c>
      <c r="E417" s="6" t="s">
        <v>448</v>
      </c>
      <c r="F417" s="24">
        <f t="shared" si="50"/>
        <v>0.09</v>
      </c>
    </row>
    <row r="418">
      <c r="A418" s="77"/>
      <c r="B418" s="77"/>
      <c r="F418" s="24"/>
    </row>
    <row r="419">
      <c r="A419" s="84" t="s">
        <v>341</v>
      </c>
    </row>
    <row r="420">
      <c r="A420" s="6" t="s">
        <v>342</v>
      </c>
      <c r="B420" s="38">
        <v>1.0</v>
      </c>
      <c r="C420" s="6" t="s">
        <v>343</v>
      </c>
      <c r="D420" s="60">
        <f>'Full Inventory Cost'!K147</f>
        <v>0.0972</v>
      </c>
      <c r="E420" s="6" t="s">
        <v>343</v>
      </c>
      <c r="F420" s="14">
        <f t="shared" ref="F420:F423" si="51">B420*D420</f>
        <v>0.0972</v>
      </c>
    </row>
    <row r="421">
      <c r="A421" s="6" t="s">
        <v>344</v>
      </c>
      <c r="B421" s="38">
        <v>1.0</v>
      </c>
      <c r="C421" s="6" t="s">
        <v>343</v>
      </c>
      <c r="D421" s="60">
        <f>'Full Inventory Cost'!K151</f>
        <v>0.05099</v>
      </c>
      <c r="E421" s="6" t="s">
        <v>343</v>
      </c>
      <c r="F421" s="14">
        <f t="shared" si="51"/>
        <v>0.05099</v>
      </c>
    </row>
    <row r="422">
      <c r="A422" s="6" t="s">
        <v>345</v>
      </c>
      <c r="B422" s="38">
        <v>1.0</v>
      </c>
      <c r="C422" s="6" t="s">
        <v>343</v>
      </c>
      <c r="D422" s="24">
        <f>'Full Inventory Cost'!K154</f>
        <v>0.01909</v>
      </c>
      <c r="E422" s="6" t="s">
        <v>343</v>
      </c>
      <c r="F422" s="24">
        <f t="shared" si="51"/>
        <v>0.01909</v>
      </c>
    </row>
    <row r="423">
      <c r="A423" s="6" t="s">
        <v>346</v>
      </c>
      <c r="B423" s="38">
        <v>1.0</v>
      </c>
      <c r="C423" s="6" t="s">
        <v>343</v>
      </c>
      <c r="D423" s="24">
        <f>'Full Inventory Cost'!K173</f>
        <v>0.04959</v>
      </c>
      <c r="E423" s="6" t="s">
        <v>343</v>
      </c>
      <c r="F423" s="24">
        <f t="shared" si="51"/>
        <v>0.04959</v>
      </c>
    </row>
    <row r="424">
      <c r="B424" s="77"/>
    </row>
    <row r="425">
      <c r="B425" s="77"/>
      <c r="E425" s="89" t="s">
        <v>347</v>
      </c>
      <c r="F425" s="90">
        <f>SUM(F412:F422)</f>
        <v>1.17228</v>
      </c>
      <c r="G425" s="91" t="s">
        <v>348</v>
      </c>
      <c r="H425" s="91" t="s">
        <v>349</v>
      </c>
      <c r="I425" s="91" t="s">
        <v>350</v>
      </c>
      <c r="J425" s="6" t="s">
        <v>351</v>
      </c>
      <c r="K425" s="91" t="s">
        <v>352</v>
      </c>
    </row>
    <row r="426">
      <c r="B426" s="77"/>
      <c r="E426" s="92" t="s">
        <v>334</v>
      </c>
      <c r="F426" s="93">
        <f>F425/B409</f>
        <v>1.17228</v>
      </c>
      <c r="G426" s="24">
        <f>F426*5</f>
        <v>5.8614</v>
      </c>
      <c r="H426" s="94">
        <v>6.5</v>
      </c>
      <c r="I426" s="95">
        <f>F426/H426</f>
        <v>0.1803507692</v>
      </c>
      <c r="J426" s="6">
        <v>6.5</v>
      </c>
      <c r="K426" s="96">
        <f>F426/J426</f>
        <v>0.1803507692</v>
      </c>
      <c r="L426" s="24">
        <f>J426-F426</f>
        <v>5.32772</v>
      </c>
    </row>
    <row r="427">
      <c r="B427" s="77"/>
    </row>
    <row r="428">
      <c r="B428" s="77"/>
    </row>
    <row r="429">
      <c r="B429" s="77"/>
    </row>
    <row r="430">
      <c r="B430" s="77"/>
    </row>
    <row r="431">
      <c r="B431" s="77"/>
    </row>
    <row r="432">
      <c r="B432" s="77"/>
    </row>
    <row r="433">
      <c r="B433" s="77"/>
    </row>
    <row r="434">
      <c r="B434" s="77"/>
    </row>
    <row r="435">
      <c r="B435" s="77"/>
    </row>
    <row r="436">
      <c r="B436" s="77"/>
    </row>
    <row r="437">
      <c r="B437" s="77"/>
    </row>
    <row r="438">
      <c r="B438" s="77"/>
    </row>
    <row r="439">
      <c r="B439" s="77"/>
    </row>
    <row r="440">
      <c r="B440" s="77"/>
    </row>
    <row r="441">
      <c r="B441" s="77"/>
    </row>
    <row r="442">
      <c r="B442" s="77"/>
    </row>
    <row r="443">
      <c r="B443" s="77"/>
    </row>
    <row r="444">
      <c r="B444" s="77"/>
    </row>
    <row r="445">
      <c r="B445" s="77"/>
    </row>
    <row r="446">
      <c r="B446" s="77"/>
    </row>
    <row r="447">
      <c r="B447" s="77"/>
    </row>
    <row r="448">
      <c r="B448" s="77"/>
    </row>
    <row r="449">
      <c r="B449" s="77"/>
    </row>
    <row r="450">
      <c r="B450" s="77"/>
    </row>
    <row r="451">
      <c r="B451" s="77"/>
    </row>
    <row r="452">
      <c r="B452" s="77"/>
    </row>
    <row r="453">
      <c r="B453" s="77"/>
    </row>
    <row r="454">
      <c r="B454" s="77"/>
    </row>
    <row r="455">
      <c r="B455" s="77"/>
    </row>
    <row r="456">
      <c r="B456" s="77"/>
    </row>
    <row r="457">
      <c r="B457" s="77"/>
    </row>
    <row r="458">
      <c r="B458" s="77"/>
    </row>
    <row r="459">
      <c r="B459" s="77"/>
    </row>
    <row r="460">
      <c r="B460" s="77"/>
    </row>
    <row r="461">
      <c r="B461" s="77"/>
    </row>
    <row r="462">
      <c r="B462" s="77"/>
    </row>
    <row r="463">
      <c r="B463" s="77"/>
    </row>
    <row r="464">
      <c r="B464" s="77"/>
    </row>
    <row r="465">
      <c r="B465" s="77"/>
    </row>
    <row r="466">
      <c r="B466" s="77"/>
    </row>
    <row r="467">
      <c r="B467" s="77"/>
    </row>
    <row r="468">
      <c r="B468" s="77"/>
    </row>
    <row r="469">
      <c r="B469" s="77"/>
    </row>
    <row r="470">
      <c r="B470" s="77"/>
    </row>
    <row r="471">
      <c r="B471" s="77"/>
    </row>
    <row r="472">
      <c r="B472" s="77"/>
    </row>
    <row r="473">
      <c r="B473" s="77"/>
    </row>
    <row r="474">
      <c r="B474" s="77"/>
    </row>
    <row r="475">
      <c r="B475" s="77"/>
    </row>
    <row r="476">
      <c r="B476" s="77"/>
    </row>
    <row r="477">
      <c r="B477" s="77"/>
    </row>
    <row r="478">
      <c r="B478" s="77"/>
    </row>
    <row r="479">
      <c r="B479" s="77"/>
    </row>
    <row r="480">
      <c r="B480" s="77"/>
    </row>
    <row r="481">
      <c r="B481" s="77"/>
    </row>
    <row r="482">
      <c r="B482" s="77"/>
    </row>
    <row r="483">
      <c r="B483" s="77"/>
    </row>
    <row r="484">
      <c r="B484" s="77"/>
    </row>
    <row r="485">
      <c r="B485" s="77"/>
    </row>
    <row r="486">
      <c r="B486" s="77"/>
    </row>
    <row r="487">
      <c r="B487" s="77"/>
    </row>
    <row r="488">
      <c r="B488" s="77"/>
    </row>
    <row r="489">
      <c r="B489" s="77"/>
    </row>
    <row r="490">
      <c r="B490" s="77"/>
    </row>
    <row r="491">
      <c r="B491" s="77"/>
    </row>
    <row r="492">
      <c r="B492" s="77"/>
    </row>
    <row r="493">
      <c r="B493" s="77"/>
    </row>
    <row r="494">
      <c r="B494" s="77"/>
    </row>
    <row r="495">
      <c r="B495" s="77"/>
    </row>
    <row r="496">
      <c r="B496" s="77"/>
    </row>
    <row r="497">
      <c r="B497" s="77"/>
    </row>
    <row r="498">
      <c r="B498" s="77"/>
    </row>
    <row r="499">
      <c r="B499" s="77"/>
    </row>
    <row r="500">
      <c r="B500" s="77"/>
    </row>
    <row r="501">
      <c r="B501" s="77"/>
    </row>
    <row r="502">
      <c r="B502" s="77"/>
    </row>
    <row r="503">
      <c r="B503" s="77"/>
    </row>
    <row r="504">
      <c r="B504" s="77"/>
    </row>
    <row r="505">
      <c r="B505" s="77"/>
    </row>
    <row r="506">
      <c r="B506" s="77"/>
    </row>
    <row r="507">
      <c r="B507" s="77"/>
    </row>
    <row r="508">
      <c r="B508" s="77"/>
    </row>
    <row r="509">
      <c r="B509" s="77"/>
    </row>
    <row r="510">
      <c r="B510" s="77"/>
    </row>
    <row r="511">
      <c r="B511" s="77"/>
    </row>
    <row r="512">
      <c r="B512" s="77"/>
    </row>
    <row r="513">
      <c r="B513" s="77"/>
    </row>
    <row r="514">
      <c r="B514" s="77"/>
    </row>
    <row r="515">
      <c r="B515" s="77"/>
    </row>
    <row r="516">
      <c r="B516" s="77"/>
    </row>
    <row r="517">
      <c r="B517" s="77"/>
    </row>
    <row r="518">
      <c r="B518" s="77"/>
    </row>
    <row r="519">
      <c r="B519" s="77"/>
    </row>
    <row r="520">
      <c r="B520" s="77"/>
    </row>
    <row r="521">
      <c r="B521" s="77"/>
    </row>
    <row r="522">
      <c r="B522" s="77"/>
    </row>
    <row r="523">
      <c r="B523" s="77"/>
    </row>
    <row r="524">
      <c r="B524" s="77"/>
    </row>
    <row r="525">
      <c r="B525" s="77"/>
    </row>
    <row r="526">
      <c r="B526" s="77"/>
    </row>
    <row r="527">
      <c r="B527" s="77"/>
    </row>
    <row r="528">
      <c r="B528" s="77"/>
    </row>
    <row r="529">
      <c r="B529" s="77"/>
    </row>
    <row r="530">
      <c r="B530" s="77"/>
    </row>
    <row r="531">
      <c r="B531" s="77"/>
    </row>
    <row r="532">
      <c r="B532" s="77"/>
    </row>
    <row r="533">
      <c r="B533" s="77"/>
    </row>
    <row r="534">
      <c r="B534" s="77"/>
    </row>
    <row r="535">
      <c r="B535" s="77"/>
    </row>
    <row r="536">
      <c r="B536" s="77"/>
    </row>
    <row r="537">
      <c r="B537" s="77"/>
    </row>
    <row r="538">
      <c r="B538" s="77"/>
    </row>
    <row r="539">
      <c r="B539" s="77"/>
    </row>
    <row r="540">
      <c r="B540" s="77"/>
    </row>
    <row r="541">
      <c r="B541" s="77"/>
    </row>
  </sheetData>
  <autoFilter ref="$L$1:$R$4"/>
  <mergeCells count="117">
    <mergeCell ref="B6:C6"/>
    <mergeCell ref="B9:C9"/>
    <mergeCell ref="D9:E9"/>
    <mergeCell ref="A10:F10"/>
    <mergeCell ref="A14:F14"/>
    <mergeCell ref="B24:C24"/>
    <mergeCell ref="B27:C27"/>
    <mergeCell ref="D27:E27"/>
    <mergeCell ref="A28:F28"/>
    <mergeCell ref="A32:F32"/>
    <mergeCell ref="B42:C42"/>
    <mergeCell ref="D45:E45"/>
    <mergeCell ref="A46:F46"/>
    <mergeCell ref="A50:F50"/>
    <mergeCell ref="B45:C45"/>
    <mergeCell ref="B63:C63"/>
    <mergeCell ref="D63:E63"/>
    <mergeCell ref="A64:F64"/>
    <mergeCell ref="A68:F68"/>
    <mergeCell ref="B78:C78"/>
    <mergeCell ref="B81:C81"/>
    <mergeCell ref="O99:P99"/>
    <mergeCell ref="O102:P102"/>
    <mergeCell ref="Q102:R102"/>
    <mergeCell ref="N103:S103"/>
    <mergeCell ref="N109:S109"/>
    <mergeCell ref="A103:F103"/>
    <mergeCell ref="A109:F109"/>
    <mergeCell ref="D81:E81"/>
    <mergeCell ref="A82:F82"/>
    <mergeCell ref="A89:F89"/>
    <mergeCell ref="B99:C99"/>
    <mergeCell ref="M99:M116"/>
    <mergeCell ref="B102:C102"/>
    <mergeCell ref="D102:E102"/>
    <mergeCell ref="B159:C159"/>
    <mergeCell ref="B174:C174"/>
    <mergeCell ref="B177:C177"/>
    <mergeCell ref="D177:E177"/>
    <mergeCell ref="A178:F178"/>
    <mergeCell ref="A182:F182"/>
    <mergeCell ref="B290:C290"/>
    <mergeCell ref="B293:C293"/>
    <mergeCell ref="D293:E293"/>
    <mergeCell ref="A294:F294"/>
    <mergeCell ref="A299:F299"/>
    <mergeCell ref="B309:C309"/>
    <mergeCell ref="B312:C312"/>
    <mergeCell ref="D312:E312"/>
    <mergeCell ref="A313:F313"/>
    <mergeCell ref="A318:F318"/>
    <mergeCell ref="B328:C328"/>
    <mergeCell ref="D331:E331"/>
    <mergeCell ref="A332:F332"/>
    <mergeCell ref="A337:F337"/>
    <mergeCell ref="A390:F390"/>
    <mergeCell ref="A395:F395"/>
    <mergeCell ref="B411:C411"/>
    <mergeCell ref="D411:E411"/>
    <mergeCell ref="A412:F412"/>
    <mergeCell ref="A419:F419"/>
    <mergeCell ref="B368:C368"/>
    <mergeCell ref="D368:E368"/>
    <mergeCell ref="A369:F369"/>
    <mergeCell ref="A376:F376"/>
    <mergeCell ref="B386:C386"/>
    <mergeCell ref="B389:C389"/>
    <mergeCell ref="D389:E389"/>
    <mergeCell ref="B120:C120"/>
    <mergeCell ref="B123:C123"/>
    <mergeCell ref="D123:E123"/>
    <mergeCell ref="A124:F124"/>
    <mergeCell ref="A129:F129"/>
    <mergeCell ref="B139:C139"/>
    <mergeCell ref="B142:C142"/>
    <mergeCell ref="D142:E142"/>
    <mergeCell ref="A143:F143"/>
    <mergeCell ref="A146:F146"/>
    <mergeCell ref="B156:C156"/>
    <mergeCell ref="D159:E159"/>
    <mergeCell ref="A160:F160"/>
    <mergeCell ref="A164:F164"/>
    <mergeCell ref="B192:C192"/>
    <mergeCell ref="B195:C195"/>
    <mergeCell ref="D195:E195"/>
    <mergeCell ref="A196:F196"/>
    <mergeCell ref="A200:F200"/>
    <mergeCell ref="B210:C210"/>
    <mergeCell ref="B213:C213"/>
    <mergeCell ref="D213:E213"/>
    <mergeCell ref="A214:F214"/>
    <mergeCell ref="B223:C223"/>
    <mergeCell ref="B226:C226"/>
    <mergeCell ref="D226:E226"/>
    <mergeCell ref="A227:F227"/>
    <mergeCell ref="B236:C236"/>
    <mergeCell ref="B239:C239"/>
    <mergeCell ref="D239:E239"/>
    <mergeCell ref="A240:F240"/>
    <mergeCell ref="A243:F243"/>
    <mergeCell ref="B253:C253"/>
    <mergeCell ref="B256:C256"/>
    <mergeCell ref="D256:E256"/>
    <mergeCell ref="A257:F257"/>
    <mergeCell ref="A260:F260"/>
    <mergeCell ref="B271:C271"/>
    <mergeCell ref="B274:C274"/>
    <mergeCell ref="D274:E274"/>
    <mergeCell ref="A275:F275"/>
    <mergeCell ref="A280:F280"/>
    <mergeCell ref="B331:C331"/>
    <mergeCell ref="B346:C346"/>
    <mergeCell ref="B349:C349"/>
    <mergeCell ref="D349:E349"/>
    <mergeCell ref="A350:F350"/>
    <mergeCell ref="A355:F355"/>
    <mergeCell ref="B365:C365"/>
  </mergeCells>
  <conditionalFormatting sqref="L1:L98 M99:M116 L114:L541">
    <cfRule type="cellIs" dxfId="2" priority="1" operator="greaterThanOrEqual">
      <formula>5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7" max="7" width="21.63"/>
    <col customWidth="1" min="8" max="8" width="19.13"/>
    <col customWidth="1" min="9" max="9" width="20.38"/>
    <col customWidth="1" min="10" max="10" width="15.63"/>
    <col customWidth="1" min="11" max="11" width="18.75"/>
  </cols>
  <sheetData>
    <row r="1">
      <c r="A1" s="137" t="s">
        <v>451</v>
      </c>
      <c r="B1" s="77"/>
      <c r="J1" s="24"/>
    </row>
    <row r="2">
      <c r="A2" s="22"/>
      <c r="B2" s="22"/>
      <c r="J2" s="24"/>
    </row>
    <row r="3">
      <c r="A3" s="78" t="s">
        <v>322</v>
      </c>
      <c r="B3" s="78"/>
      <c r="C3" s="136"/>
      <c r="D3" s="138"/>
      <c r="J3" s="24"/>
    </row>
    <row r="4">
      <c r="A4" s="139"/>
      <c r="B4" s="139"/>
      <c r="C4" s="140"/>
      <c r="D4" s="141"/>
      <c r="E4" s="80"/>
      <c r="F4" s="80"/>
      <c r="G4" s="80"/>
      <c r="H4" s="80"/>
      <c r="I4" s="80"/>
      <c r="J4" s="142"/>
      <c r="K4" s="80"/>
    </row>
    <row r="5">
      <c r="A5" s="78"/>
      <c r="B5" s="78"/>
      <c r="C5" s="136"/>
      <c r="D5" s="138"/>
      <c r="J5" s="24"/>
    </row>
    <row r="6">
      <c r="A6" s="78" t="s">
        <v>452</v>
      </c>
      <c r="B6" s="78" t="s">
        <v>453</v>
      </c>
      <c r="C6" s="136"/>
      <c r="D6" s="138"/>
      <c r="J6" s="24"/>
    </row>
    <row r="7">
      <c r="A7" s="22" t="s">
        <v>454</v>
      </c>
      <c r="B7" s="22">
        <v>12.0</v>
      </c>
      <c r="J7" s="24"/>
    </row>
    <row r="8">
      <c r="B8" s="77"/>
      <c r="J8" s="24"/>
    </row>
    <row r="9">
      <c r="A9" s="81" t="s">
        <v>332</v>
      </c>
      <c r="B9" s="82" t="s">
        <v>333</v>
      </c>
      <c r="C9" s="83"/>
      <c r="D9" s="82" t="s">
        <v>334</v>
      </c>
      <c r="E9" s="83"/>
      <c r="F9" s="81" t="s">
        <v>335</v>
      </c>
      <c r="J9" s="24"/>
    </row>
    <row r="10">
      <c r="A10" s="84" t="s">
        <v>455</v>
      </c>
      <c r="B10" s="38"/>
      <c r="C10" s="6"/>
      <c r="E10" s="6"/>
      <c r="J10" s="24"/>
    </row>
    <row r="11">
      <c r="A11" s="6" t="s">
        <v>456</v>
      </c>
      <c r="B11" s="38">
        <v>1.0</v>
      </c>
      <c r="C11" s="6" t="s">
        <v>410</v>
      </c>
      <c r="D11" s="24">
        <f>'Full Inventory Cost'!L110</f>
        <v>1.525</v>
      </c>
      <c r="E11" s="6" t="s">
        <v>410</v>
      </c>
      <c r="F11" s="24">
        <f t="shared" ref="F11:F19" si="1">B11*D11</f>
        <v>1.525</v>
      </c>
      <c r="J11" s="24"/>
    </row>
    <row r="12">
      <c r="A12" s="6" t="s">
        <v>457</v>
      </c>
      <c r="B12" s="38">
        <v>2.5</v>
      </c>
      <c r="C12" s="6" t="s">
        <v>458</v>
      </c>
      <c r="D12" s="24">
        <f>'Full Inventory Cost'!L111</f>
        <v>0.3598</v>
      </c>
      <c r="E12" s="6" t="s">
        <v>458</v>
      </c>
      <c r="F12" s="24">
        <f t="shared" si="1"/>
        <v>0.8995</v>
      </c>
      <c r="J12" s="24"/>
    </row>
    <row r="13">
      <c r="A13" s="6" t="s">
        <v>459</v>
      </c>
      <c r="B13" s="38">
        <v>4.0</v>
      </c>
      <c r="C13" s="6" t="s">
        <v>343</v>
      </c>
      <c r="D13" s="24">
        <f>'Full Inventory Cost'!K99</f>
        <v>0.3255555556</v>
      </c>
      <c r="E13" s="6" t="s">
        <v>343</v>
      </c>
      <c r="F13" s="24">
        <f t="shared" si="1"/>
        <v>1.302222222</v>
      </c>
      <c r="J13" s="24"/>
    </row>
    <row r="14">
      <c r="A14" s="6" t="s">
        <v>460</v>
      </c>
      <c r="B14" s="38">
        <v>2.0</v>
      </c>
      <c r="C14" s="6" t="s">
        <v>338</v>
      </c>
      <c r="D14" s="14">
        <f>'Full Inventory Cost'!N115</f>
        <v>0.1040625</v>
      </c>
      <c r="E14" s="6" t="s">
        <v>338</v>
      </c>
      <c r="F14" s="14">
        <f t="shared" si="1"/>
        <v>0.208125</v>
      </c>
      <c r="J14" s="24"/>
    </row>
    <row r="15">
      <c r="A15" s="6" t="s">
        <v>461</v>
      </c>
      <c r="B15" s="38">
        <v>4.0</v>
      </c>
      <c r="C15" s="6" t="s">
        <v>410</v>
      </c>
      <c r="D15" s="24">
        <f>'Full Inventory Cost'!L112</f>
        <v>0.1498</v>
      </c>
      <c r="E15" s="6" t="s">
        <v>410</v>
      </c>
      <c r="F15" s="24">
        <f t="shared" si="1"/>
        <v>0.5992</v>
      </c>
      <c r="J15" s="24"/>
    </row>
    <row r="16">
      <c r="A16" s="6" t="s">
        <v>462</v>
      </c>
      <c r="B16" s="38">
        <v>1.0</v>
      </c>
      <c r="C16" s="6" t="s">
        <v>338</v>
      </c>
      <c r="D16" s="14">
        <f>'Full Inventory Cost'!N98</f>
        <v>0.004102564103</v>
      </c>
      <c r="E16" s="6" t="s">
        <v>338</v>
      </c>
      <c r="F16" s="14">
        <f t="shared" si="1"/>
        <v>0.004102564103</v>
      </c>
      <c r="J16" s="24"/>
    </row>
    <row r="17">
      <c r="A17" s="6" t="s">
        <v>463</v>
      </c>
      <c r="B17" s="38">
        <v>4.0</v>
      </c>
      <c r="C17" s="6" t="s">
        <v>338</v>
      </c>
      <c r="D17" s="14">
        <f>'Full Inventory Cost'!N94</f>
        <v>0.04279835391</v>
      </c>
      <c r="E17" s="6" t="s">
        <v>338</v>
      </c>
      <c r="F17" s="14">
        <f t="shared" si="1"/>
        <v>0.1711934156</v>
      </c>
      <c r="J17" s="24"/>
    </row>
    <row r="18">
      <c r="A18" s="6" t="s">
        <v>431</v>
      </c>
      <c r="B18" s="38">
        <v>1.0</v>
      </c>
      <c r="C18" s="6" t="s">
        <v>410</v>
      </c>
      <c r="D18" s="24">
        <f>'Full Inventory Cost'!L20</f>
        <v>0.24875</v>
      </c>
      <c r="E18" s="6" t="s">
        <v>410</v>
      </c>
      <c r="F18" s="24">
        <f t="shared" si="1"/>
        <v>0.24875</v>
      </c>
      <c r="J18" s="24"/>
    </row>
    <row r="19">
      <c r="A19" s="6" t="s">
        <v>464</v>
      </c>
      <c r="B19" s="38">
        <v>3.25</v>
      </c>
      <c r="C19" s="6" t="s">
        <v>410</v>
      </c>
      <c r="D19" s="24">
        <f>'Full Inventory Cost'!L10</f>
        <v>1.198</v>
      </c>
      <c r="E19" s="6" t="s">
        <v>410</v>
      </c>
      <c r="F19" s="24">
        <f t="shared" si="1"/>
        <v>3.8935</v>
      </c>
      <c r="J19" s="24"/>
    </row>
    <row r="20">
      <c r="B20" s="77"/>
      <c r="J20" s="24"/>
    </row>
    <row r="21">
      <c r="A21" s="84" t="s">
        <v>465</v>
      </c>
      <c r="B21" s="77"/>
      <c r="J21" s="24"/>
    </row>
    <row r="22">
      <c r="A22" s="6" t="s">
        <v>456</v>
      </c>
      <c r="B22" s="38">
        <v>4.0</v>
      </c>
      <c r="C22" s="6" t="s">
        <v>372</v>
      </c>
      <c r="D22" s="14">
        <f>'Full Inventory Cost'!M110</f>
        <v>0.0953125</v>
      </c>
      <c r="E22" s="6" t="s">
        <v>372</v>
      </c>
      <c r="F22" s="14">
        <f t="shared" ref="F22:F24" si="2">B22*D22</f>
        <v>0.38125</v>
      </c>
      <c r="J22" s="24"/>
    </row>
    <row r="23">
      <c r="A23" s="6" t="s">
        <v>457</v>
      </c>
      <c r="B23" s="38">
        <v>0.5</v>
      </c>
      <c r="C23" s="6" t="s">
        <v>410</v>
      </c>
      <c r="D23" s="24">
        <f>D12</f>
        <v>0.3598</v>
      </c>
      <c r="E23" s="6" t="s">
        <v>410</v>
      </c>
      <c r="F23" s="24">
        <f t="shared" si="2"/>
        <v>0.1799</v>
      </c>
      <c r="J23" s="24"/>
    </row>
    <row r="24">
      <c r="A24" s="6" t="s">
        <v>461</v>
      </c>
      <c r="B24" s="38">
        <v>0.5</v>
      </c>
      <c r="C24" s="6" t="s">
        <v>410</v>
      </c>
      <c r="D24" s="24">
        <f>D15</f>
        <v>0.1498</v>
      </c>
      <c r="E24" s="6" t="s">
        <v>410</v>
      </c>
      <c r="F24" s="24">
        <f t="shared" si="2"/>
        <v>0.0749</v>
      </c>
      <c r="J24" s="24"/>
    </row>
    <row r="25">
      <c r="B25" s="77"/>
      <c r="J25" s="24"/>
    </row>
    <row r="26">
      <c r="A26" s="84" t="s">
        <v>341</v>
      </c>
      <c r="B26" s="77"/>
      <c r="J26" s="24"/>
    </row>
    <row r="27">
      <c r="A27" s="6" t="s">
        <v>466</v>
      </c>
      <c r="B27" s="38">
        <f>B7</f>
        <v>12</v>
      </c>
      <c r="C27" s="6" t="s">
        <v>343</v>
      </c>
      <c r="D27" s="24">
        <f>'Full Inventory Cost'!K160</f>
        <v>0.11992</v>
      </c>
      <c r="E27" s="6" t="s">
        <v>343</v>
      </c>
      <c r="F27" s="24">
        <f t="shared" ref="F27:F28" si="3">B27*D27</f>
        <v>1.43904</v>
      </c>
      <c r="J27" s="24"/>
    </row>
    <row r="28">
      <c r="A28" s="6" t="s">
        <v>467</v>
      </c>
      <c r="B28" s="38">
        <f>B7</f>
        <v>12</v>
      </c>
      <c r="C28" s="6" t="s">
        <v>343</v>
      </c>
      <c r="D28" s="24">
        <f>'Full Inventory Cost'!K161</f>
        <v>0.03485</v>
      </c>
      <c r="E28" s="6" t="s">
        <v>343</v>
      </c>
      <c r="F28" s="24">
        <f t="shared" si="3"/>
        <v>0.4182</v>
      </c>
      <c r="J28" s="24"/>
    </row>
    <row r="29">
      <c r="B29" s="77"/>
      <c r="J29" s="24"/>
    </row>
    <row r="30">
      <c r="B30" s="77"/>
      <c r="E30" s="89" t="s">
        <v>347</v>
      </c>
      <c r="F30" s="90">
        <f>SUM(F10:F29)</f>
        <v>11.3448832</v>
      </c>
      <c r="G30" s="91" t="s">
        <v>348</v>
      </c>
      <c r="H30" s="91" t="s">
        <v>376</v>
      </c>
      <c r="I30" s="91" t="s">
        <v>350</v>
      </c>
      <c r="J30" s="143" t="s">
        <v>351</v>
      </c>
      <c r="K30" s="91" t="s">
        <v>352</v>
      </c>
    </row>
    <row r="31">
      <c r="B31" s="77"/>
      <c r="E31" s="92" t="s">
        <v>334</v>
      </c>
      <c r="F31" s="93">
        <f>F30/B7</f>
        <v>0.9454069335</v>
      </c>
      <c r="G31" s="24">
        <f>F31*5</f>
        <v>4.727034667</v>
      </c>
      <c r="H31" s="21">
        <v>4.0</v>
      </c>
      <c r="I31" s="95">
        <f>F31/H31</f>
        <v>0.2363517334</v>
      </c>
      <c r="J31" s="144">
        <v>4.5</v>
      </c>
      <c r="K31" s="96">
        <f>F31/J31</f>
        <v>0.2100904297</v>
      </c>
      <c r="L31" s="24">
        <f>J31-F31</f>
        <v>3.554593067</v>
      </c>
    </row>
    <row r="32">
      <c r="B32" s="77"/>
      <c r="J32" s="24"/>
    </row>
    <row r="33">
      <c r="B33" s="77"/>
      <c r="J33" s="24"/>
    </row>
    <row r="34">
      <c r="A34" s="78" t="s">
        <v>325</v>
      </c>
      <c r="B34" s="78" t="s">
        <v>468</v>
      </c>
      <c r="C34" s="136"/>
      <c r="J34" s="24"/>
    </row>
    <row r="35">
      <c r="A35" s="22" t="s">
        <v>329</v>
      </c>
      <c r="B35" s="22">
        <v>12.0</v>
      </c>
      <c r="J35" s="24"/>
    </row>
    <row r="36">
      <c r="B36" s="77"/>
      <c r="J36" s="24"/>
    </row>
    <row r="37">
      <c r="A37" s="81" t="s">
        <v>332</v>
      </c>
      <c r="B37" s="82" t="s">
        <v>333</v>
      </c>
      <c r="C37" s="83"/>
      <c r="D37" s="82" t="s">
        <v>334</v>
      </c>
      <c r="E37" s="83"/>
      <c r="F37" s="81" t="s">
        <v>335</v>
      </c>
      <c r="J37" s="24"/>
    </row>
    <row r="38">
      <c r="A38" s="84" t="s">
        <v>455</v>
      </c>
      <c r="B38" s="38"/>
      <c r="C38" s="6"/>
      <c r="E38" s="6"/>
      <c r="I38" s="145"/>
      <c r="J38" s="24"/>
    </row>
    <row r="39">
      <c r="A39" s="6" t="s">
        <v>456</v>
      </c>
      <c r="B39" s="38">
        <v>1.0</v>
      </c>
      <c r="C39" s="6" t="s">
        <v>410</v>
      </c>
      <c r="D39" s="24">
        <f>'Full Inventory Cost'!L110</f>
        <v>1.525</v>
      </c>
      <c r="E39" s="6" t="s">
        <v>410</v>
      </c>
      <c r="F39" s="24">
        <f t="shared" ref="F39:F48" si="4">B39*D39</f>
        <v>1.525</v>
      </c>
      <c r="I39" s="145"/>
      <c r="J39" s="24"/>
    </row>
    <row r="40">
      <c r="A40" s="6" t="s">
        <v>457</v>
      </c>
      <c r="B40" s="38">
        <v>2.5</v>
      </c>
      <c r="C40" s="6" t="s">
        <v>458</v>
      </c>
      <c r="D40" s="24">
        <f>'Full Inventory Cost'!L111</f>
        <v>0.3598</v>
      </c>
      <c r="E40" s="6" t="s">
        <v>458</v>
      </c>
      <c r="F40" s="24">
        <f t="shared" si="4"/>
        <v>0.8995</v>
      </c>
      <c r="I40" s="145"/>
      <c r="J40" s="24"/>
    </row>
    <row r="41">
      <c r="A41" s="6" t="s">
        <v>459</v>
      </c>
      <c r="B41" s="38">
        <v>4.0</v>
      </c>
      <c r="C41" s="6" t="s">
        <v>343</v>
      </c>
      <c r="D41" s="24">
        <f>'Full Inventory Cost'!K99</f>
        <v>0.3255555556</v>
      </c>
      <c r="E41" s="6" t="s">
        <v>343</v>
      </c>
      <c r="F41" s="24">
        <f t="shared" si="4"/>
        <v>1.302222222</v>
      </c>
      <c r="J41" s="24"/>
    </row>
    <row r="42">
      <c r="A42" s="6" t="s">
        <v>460</v>
      </c>
      <c r="B42" s="38">
        <v>2.0</v>
      </c>
      <c r="C42" s="6" t="s">
        <v>338</v>
      </c>
      <c r="D42" s="14">
        <f>'Full Inventory Cost'!M115</f>
        <v>0.3121875</v>
      </c>
      <c r="E42" s="6" t="s">
        <v>338</v>
      </c>
      <c r="F42" s="14">
        <f t="shared" si="4"/>
        <v>0.624375</v>
      </c>
      <c r="J42" s="24"/>
    </row>
    <row r="43">
      <c r="A43" s="6" t="s">
        <v>461</v>
      </c>
      <c r="B43" s="38">
        <v>4.0</v>
      </c>
      <c r="C43" s="6" t="s">
        <v>410</v>
      </c>
      <c r="D43" s="24">
        <f>'Full Inventory Cost'!L112</f>
        <v>0.1498</v>
      </c>
      <c r="E43" s="6" t="s">
        <v>410</v>
      </c>
      <c r="F43" s="24">
        <f t="shared" si="4"/>
        <v>0.5992</v>
      </c>
      <c r="J43" s="24"/>
    </row>
    <row r="44">
      <c r="A44" s="6" t="s">
        <v>462</v>
      </c>
      <c r="B44" s="38">
        <v>1.0</v>
      </c>
      <c r="C44" s="6" t="s">
        <v>338</v>
      </c>
      <c r="D44" s="21">
        <v>0.01</v>
      </c>
      <c r="E44" s="6" t="s">
        <v>338</v>
      </c>
      <c r="F44" s="24">
        <f t="shared" si="4"/>
        <v>0.01</v>
      </c>
      <c r="J44" s="24"/>
    </row>
    <row r="45">
      <c r="A45" s="6" t="s">
        <v>463</v>
      </c>
      <c r="B45" s="38">
        <v>4.0</v>
      </c>
      <c r="C45" s="6" t="s">
        <v>338</v>
      </c>
      <c r="D45" s="14">
        <f>'Full Inventory Cost'!N94</f>
        <v>0.04279835391</v>
      </c>
      <c r="E45" s="6" t="s">
        <v>338</v>
      </c>
      <c r="F45" s="14">
        <f t="shared" si="4"/>
        <v>0.1711934156</v>
      </c>
      <c r="J45" s="24"/>
    </row>
    <row r="46">
      <c r="A46" s="6" t="s">
        <v>431</v>
      </c>
      <c r="B46" s="38">
        <v>1.0</v>
      </c>
      <c r="C46" s="6" t="s">
        <v>410</v>
      </c>
      <c r="D46" s="24">
        <f>'Full Inventory Cost'!L20</f>
        <v>0.24875</v>
      </c>
      <c r="E46" s="6" t="s">
        <v>410</v>
      </c>
      <c r="F46" s="24">
        <f t="shared" si="4"/>
        <v>0.24875</v>
      </c>
      <c r="J46" s="24"/>
    </row>
    <row r="47">
      <c r="A47" s="6" t="s">
        <v>469</v>
      </c>
      <c r="B47" s="38">
        <v>2.0</v>
      </c>
      <c r="C47" s="6" t="s">
        <v>410</v>
      </c>
      <c r="D47" s="24">
        <f>'Full Inventory Cost'!L87</f>
        <v>1.554444444</v>
      </c>
      <c r="E47" s="6" t="s">
        <v>410</v>
      </c>
      <c r="F47" s="24">
        <f t="shared" si="4"/>
        <v>3.108888889</v>
      </c>
      <c r="J47" s="24"/>
    </row>
    <row r="48">
      <c r="A48" s="6" t="s">
        <v>402</v>
      </c>
      <c r="B48" s="38">
        <v>1.0</v>
      </c>
      <c r="C48" s="6" t="s">
        <v>410</v>
      </c>
      <c r="D48" s="24">
        <f>'Full Inventory Cost'!L88</f>
        <v>3.78</v>
      </c>
      <c r="E48" s="6" t="s">
        <v>410</v>
      </c>
      <c r="F48" s="24">
        <f t="shared" si="4"/>
        <v>3.78</v>
      </c>
      <c r="J48" s="24"/>
    </row>
    <row r="49">
      <c r="A49" s="6"/>
      <c r="B49" s="38"/>
      <c r="C49" s="6"/>
      <c r="E49" s="6"/>
      <c r="J49" s="24"/>
    </row>
    <row r="50">
      <c r="B50" s="38"/>
      <c r="D50" s="21"/>
      <c r="J50" s="24"/>
    </row>
    <row r="51">
      <c r="B51" s="77"/>
      <c r="J51" s="24"/>
    </row>
    <row r="52">
      <c r="A52" s="84" t="s">
        <v>341</v>
      </c>
      <c r="B52" s="77"/>
      <c r="J52" s="24"/>
    </row>
    <row r="53">
      <c r="A53" s="6" t="s">
        <v>466</v>
      </c>
      <c r="B53" s="38">
        <f>B35</f>
        <v>12</v>
      </c>
      <c r="C53" s="6" t="s">
        <v>343</v>
      </c>
      <c r="D53" s="24">
        <f>D27</f>
        <v>0.11992</v>
      </c>
      <c r="E53" s="6" t="s">
        <v>343</v>
      </c>
      <c r="F53" s="24">
        <f t="shared" ref="F53:F54" si="5">B53*D53</f>
        <v>1.43904</v>
      </c>
      <c r="J53" s="24"/>
    </row>
    <row r="54">
      <c r="A54" s="6" t="s">
        <v>467</v>
      </c>
      <c r="B54" s="38">
        <f>B35</f>
        <v>12</v>
      </c>
      <c r="C54" s="6" t="s">
        <v>343</v>
      </c>
      <c r="D54" s="24">
        <f>'Full Inventory Cost'!K161</f>
        <v>0.03485</v>
      </c>
      <c r="E54" s="6" t="s">
        <v>343</v>
      </c>
      <c r="F54" s="24">
        <f t="shared" si="5"/>
        <v>0.4182</v>
      </c>
      <c r="J54" s="24"/>
    </row>
    <row r="55">
      <c r="B55" s="77"/>
      <c r="E55" s="6"/>
      <c r="F55" s="24"/>
      <c r="J55" s="24"/>
    </row>
    <row r="56">
      <c r="B56" s="77"/>
      <c r="E56" s="89" t="s">
        <v>347</v>
      </c>
      <c r="F56" s="90">
        <f>SUM(F39:F55)</f>
        <v>14.12636953</v>
      </c>
      <c r="G56" s="91" t="s">
        <v>348</v>
      </c>
      <c r="H56" s="91" t="s">
        <v>376</v>
      </c>
      <c r="I56" s="91" t="s">
        <v>350</v>
      </c>
      <c r="J56" s="143" t="s">
        <v>351</v>
      </c>
      <c r="K56" s="91" t="s">
        <v>352</v>
      </c>
    </row>
    <row r="57">
      <c r="B57" s="77"/>
      <c r="E57" s="92" t="s">
        <v>334</v>
      </c>
      <c r="F57" s="93">
        <f>F56/B35</f>
        <v>1.177197461</v>
      </c>
      <c r="G57" s="24">
        <f>F57*5</f>
        <v>5.885987303</v>
      </c>
      <c r="H57" s="21">
        <v>4.0</v>
      </c>
      <c r="I57" s="95">
        <f>F57/H57</f>
        <v>0.2942993651</v>
      </c>
      <c r="J57" s="146">
        <v>4.5</v>
      </c>
      <c r="K57" s="147">
        <f>F57/J57</f>
        <v>0.2615994357</v>
      </c>
      <c r="L57" s="24">
        <f>J57-F57</f>
        <v>3.322802539</v>
      </c>
    </row>
    <row r="58">
      <c r="B58" s="77"/>
      <c r="J58" s="24"/>
    </row>
    <row r="59">
      <c r="A59" s="78" t="s">
        <v>325</v>
      </c>
      <c r="B59" s="78" t="s">
        <v>470</v>
      </c>
      <c r="C59" s="136"/>
      <c r="D59" s="15" t="s">
        <v>471</v>
      </c>
      <c r="J59" s="24"/>
    </row>
    <row r="60">
      <c r="A60" s="22" t="s">
        <v>329</v>
      </c>
      <c r="B60" s="22">
        <v>21.0</v>
      </c>
      <c r="J60" s="24"/>
    </row>
    <row r="61">
      <c r="B61" s="77"/>
      <c r="J61" s="24"/>
    </row>
    <row r="62">
      <c r="A62" s="81" t="s">
        <v>332</v>
      </c>
      <c r="B62" s="82" t="s">
        <v>333</v>
      </c>
      <c r="C62" s="83"/>
      <c r="D62" s="82" t="s">
        <v>334</v>
      </c>
      <c r="E62" s="83"/>
      <c r="F62" s="81" t="s">
        <v>335</v>
      </c>
      <c r="J62" s="24"/>
    </row>
    <row r="63">
      <c r="A63" s="84" t="s">
        <v>472</v>
      </c>
      <c r="B63" s="38"/>
      <c r="C63" s="6"/>
      <c r="E63" s="6"/>
      <c r="J63" s="24"/>
    </row>
    <row r="64">
      <c r="A64" s="6" t="s">
        <v>456</v>
      </c>
      <c r="B64" s="38">
        <v>2.0</v>
      </c>
      <c r="C64" s="6" t="s">
        <v>410</v>
      </c>
      <c r="D64" s="24">
        <f>'Full Inventory Cost'!L110</f>
        <v>1.525</v>
      </c>
      <c r="E64" s="6" t="s">
        <v>410</v>
      </c>
      <c r="F64" s="24">
        <f t="shared" ref="F64:F75" si="6">B64*D64</f>
        <v>3.05</v>
      </c>
      <c r="J64" s="24"/>
    </row>
    <row r="65">
      <c r="A65" s="6" t="s">
        <v>473</v>
      </c>
      <c r="B65" s="38">
        <v>3.0</v>
      </c>
      <c r="C65" s="6" t="s">
        <v>458</v>
      </c>
      <c r="D65" s="24">
        <f>'Full Inventory Cost'!L89</f>
        <v>0.605</v>
      </c>
      <c r="E65" s="6" t="s">
        <v>458</v>
      </c>
      <c r="F65" s="24">
        <f t="shared" si="6"/>
        <v>1.815</v>
      </c>
      <c r="J65" s="24"/>
    </row>
    <row r="66">
      <c r="A66" s="6" t="s">
        <v>457</v>
      </c>
      <c r="B66" s="38">
        <v>1.0</v>
      </c>
      <c r="C66" s="6" t="s">
        <v>458</v>
      </c>
      <c r="D66" s="24">
        <f>'Full Inventory Cost'!L111</f>
        <v>0.3598</v>
      </c>
      <c r="E66" s="6" t="s">
        <v>458</v>
      </c>
      <c r="F66" s="24">
        <f t="shared" si="6"/>
        <v>0.3598</v>
      </c>
      <c r="J66" s="24"/>
    </row>
    <row r="67">
      <c r="A67" s="6" t="s">
        <v>459</v>
      </c>
      <c r="B67" s="38">
        <v>4.0</v>
      </c>
      <c r="C67" s="6" t="s">
        <v>343</v>
      </c>
      <c r="D67" s="24">
        <f>'Full Inventory Cost'!K99</f>
        <v>0.3255555556</v>
      </c>
      <c r="E67" s="6" t="s">
        <v>343</v>
      </c>
      <c r="F67" s="24">
        <f t="shared" si="6"/>
        <v>1.302222222</v>
      </c>
      <c r="J67" s="24"/>
    </row>
    <row r="68">
      <c r="A68" s="6" t="s">
        <v>460</v>
      </c>
      <c r="B68" s="38">
        <v>2.0</v>
      </c>
      <c r="C68" s="6" t="s">
        <v>338</v>
      </c>
      <c r="D68" s="14">
        <f>'Full Inventory Cost'!N115</f>
        <v>0.1040625</v>
      </c>
      <c r="E68" s="6" t="s">
        <v>338</v>
      </c>
      <c r="F68" s="14">
        <f t="shared" si="6"/>
        <v>0.208125</v>
      </c>
      <c r="J68" s="24"/>
    </row>
    <row r="69">
      <c r="A69" s="6" t="s">
        <v>474</v>
      </c>
      <c r="B69" s="38">
        <v>0.5</v>
      </c>
      <c r="C69" s="6" t="s">
        <v>410</v>
      </c>
      <c r="D69" s="24">
        <f>'Full Inventory Cost'!L116</f>
        <v>0</v>
      </c>
      <c r="E69" s="6" t="s">
        <v>410</v>
      </c>
      <c r="F69" s="24">
        <f t="shared" si="6"/>
        <v>0</v>
      </c>
      <c r="J69" s="24"/>
    </row>
    <row r="70">
      <c r="A70" s="6" t="s">
        <v>461</v>
      </c>
      <c r="B70" s="38">
        <v>6.5</v>
      </c>
      <c r="C70" s="6" t="s">
        <v>410</v>
      </c>
      <c r="D70" s="24">
        <f>'Full Inventory Cost'!L112</f>
        <v>0.1498</v>
      </c>
      <c r="E70" s="6" t="s">
        <v>410</v>
      </c>
      <c r="F70" s="24">
        <f t="shared" si="6"/>
        <v>0.9737</v>
      </c>
      <c r="J70" s="24"/>
    </row>
    <row r="71">
      <c r="A71" s="6" t="s">
        <v>475</v>
      </c>
      <c r="B71" s="38">
        <v>4.0</v>
      </c>
      <c r="C71" s="6" t="s">
        <v>338</v>
      </c>
      <c r="D71" s="14">
        <f>'Full Inventory Cost'!N96</f>
        <v>0.01614583333</v>
      </c>
      <c r="E71" s="6" t="s">
        <v>338</v>
      </c>
      <c r="F71" s="14">
        <f t="shared" si="6"/>
        <v>0.06458333333</v>
      </c>
      <c r="J71" s="24"/>
    </row>
    <row r="72">
      <c r="A72" s="6" t="s">
        <v>476</v>
      </c>
      <c r="B72" s="38">
        <v>2.0</v>
      </c>
      <c r="C72" s="6" t="s">
        <v>338</v>
      </c>
      <c r="D72" s="14">
        <f>'Full Inventory Cost'!N95</f>
        <v>0.007760416667</v>
      </c>
      <c r="E72" s="6" t="s">
        <v>338</v>
      </c>
      <c r="F72" s="14">
        <f t="shared" si="6"/>
        <v>0.01552083333</v>
      </c>
      <c r="J72" s="24"/>
    </row>
    <row r="73">
      <c r="A73" s="6" t="s">
        <v>463</v>
      </c>
      <c r="B73" s="38">
        <v>2.0</v>
      </c>
      <c r="C73" s="6" t="s">
        <v>338</v>
      </c>
      <c r="D73" s="14">
        <f>'Full Inventory Cost'!N94</f>
        <v>0.04279835391</v>
      </c>
      <c r="E73" s="6" t="s">
        <v>338</v>
      </c>
      <c r="F73" s="14">
        <f t="shared" si="6"/>
        <v>0.08559670782</v>
      </c>
      <c r="J73" s="24"/>
    </row>
    <row r="74">
      <c r="A74" s="6" t="s">
        <v>462</v>
      </c>
      <c r="B74" s="38">
        <v>2.0</v>
      </c>
      <c r="C74" s="6" t="s">
        <v>338</v>
      </c>
      <c r="D74" s="14">
        <f>'Full Inventory Cost'!N95</f>
        <v>0.007760416667</v>
      </c>
      <c r="E74" s="6" t="s">
        <v>338</v>
      </c>
      <c r="F74" s="14">
        <f t="shared" si="6"/>
        <v>0.01552083333</v>
      </c>
      <c r="J74" s="24"/>
    </row>
    <row r="75">
      <c r="A75" s="6" t="s">
        <v>469</v>
      </c>
      <c r="B75" s="38">
        <v>4.0</v>
      </c>
      <c r="C75" s="6" t="s">
        <v>410</v>
      </c>
      <c r="D75" s="24">
        <f>'Full Inventory Cost'!L87</f>
        <v>1.554444444</v>
      </c>
      <c r="E75" s="6" t="s">
        <v>410</v>
      </c>
      <c r="F75" s="24">
        <f t="shared" si="6"/>
        <v>6.217777778</v>
      </c>
      <c r="J75" s="24"/>
    </row>
    <row r="76">
      <c r="B76" s="77"/>
      <c r="J76" s="24"/>
    </row>
    <row r="77">
      <c r="A77" s="84" t="s">
        <v>341</v>
      </c>
      <c r="B77" s="77"/>
      <c r="J77" s="24"/>
    </row>
    <row r="78">
      <c r="A78" s="6" t="s">
        <v>467</v>
      </c>
      <c r="B78" s="38">
        <f>B60</f>
        <v>21</v>
      </c>
      <c r="C78" s="6" t="s">
        <v>343</v>
      </c>
      <c r="D78" s="24">
        <f>'Full Inventory Cost'!K161</f>
        <v>0.03485</v>
      </c>
      <c r="E78" s="6" t="s">
        <v>343</v>
      </c>
      <c r="F78" s="24">
        <f>B78*D78</f>
        <v>0.73185</v>
      </c>
      <c r="J78" s="24"/>
    </row>
    <row r="79">
      <c r="B79" s="77"/>
      <c r="J79" s="24"/>
    </row>
    <row r="80">
      <c r="B80" s="77"/>
      <c r="E80" s="89" t="s">
        <v>347</v>
      </c>
      <c r="F80" s="90">
        <f>SUM(F63:F79)</f>
        <v>14.83969671</v>
      </c>
      <c r="G80" s="91" t="s">
        <v>348</v>
      </c>
      <c r="H80" s="91" t="s">
        <v>376</v>
      </c>
      <c r="I80" s="91" t="s">
        <v>350</v>
      </c>
      <c r="J80" s="143" t="s">
        <v>351</v>
      </c>
      <c r="K80" s="91" t="s">
        <v>352</v>
      </c>
    </row>
    <row r="81">
      <c r="B81" s="77"/>
      <c r="E81" s="92" t="s">
        <v>334</v>
      </c>
      <c r="F81" s="93">
        <f>F80/B60</f>
        <v>0.7066522242</v>
      </c>
      <c r="G81" s="24">
        <f>F81*5</f>
        <v>3.533261121</v>
      </c>
      <c r="H81" s="21">
        <v>3.0</v>
      </c>
      <c r="I81" s="95">
        <f>F81/H81</f>
        <v>0.2355507414</v>
      </c>
      <c r="J81" s="144">
        <v>3.75</v>
      </c>
      <c r="K81" s="96">
        <f>F81/J81</f>
        <v>0.1884405931</v>
      </c>
      <c r="L81" s="24">
        <f>J81-F81</f>
        <v>3.043347776</v>
      </c>
    </row>
    <row r="82">
      <c r="B82" s="77"/>
      <c r="J82" s="24"/>
    </row>
    <row r="83">
      <c r="B83" s="77"/>
      <c r="J83" s="24"/>
    </row>
    <row r="84">
      <c r="A84" s="78" t="s">
        <v>325</v>
      </c>
      <c r="B84" s="78" t="s">
        <v>477</v>
      </c>
      <c r="C84" s="136"/>
      <c r="E84" s="15" t="s">
        <v>478</v>
      </c>
      <c r="J84" s="24"/>
    </row>
    <row r="85">
      <c r="A85" s="22" t="s">
        <v>329</v>
      </c>
      <c r="B85" s="22">
        <v>25.0</v>
      </c>
      <c r="J85" s="24"/>
    </row>
    <row r="86">
      <c r="B86" s="77"/>
      <c r="J86" s="24"/>
    </row>
    <row r="87">
      <c r="A87" s="81" t="s">
        <v>332</v>
      </c>
      <c r="B87" s="82" t="s">
        <v>333</v>
      </c>
      <c r="C87" s="83"/>
      <c r="D87" s="82" t="s">
        <v>334</v>
      </c>
      <c r="E87" s="83"/>
      <c r="F87" s="81" t="s">
        <v>335</v>
      </c>
      <c r="J87" s="24"/>
    </row>
    <row r="88">
      <c r="A88" s="84" t="s">
        <v>472</v>
      </c>
      <c r="B88" s="38"/>
      <c r="C88" s="6"/>
      <c r="E88" s="6"/>
      <c r="J88" s="24"/>
    </row>
    <row r="89">
      <c r="A89" s="6" t="s">
        <v>456</v>
      </c>
      <c r="B89" s="38">
        <v>2.0</v>
      </c>
      <c r="C89" s="6" t="s">
        <v>410</v>
      </c>
      <c r="D89" s="24">
        <f>D64</f>
        <v>1.525</v>
      </c>
      <c r="E89" s="6" t="s">
        <v>410</v>
      </c>
      <c r="F89" s="24">
        <f t="shared" ref="F89:F98" si="7">B89*D89</f>
        <v>3.05</v>
      </c>
      <c r="J89" s="24"/>
    </row>
    <row r="90">
      <c r="A90" s="6" t="s">
        <v>457</v>
      </c>
      <c r="B90" s="38">
        <v>1.0</v>
      </c>
      <c r="C90" s="6" t="s">
        <v>458</v>
      </c>
      <c r="D90" s="24">
        <f>D66</f>
        <v>0.3598</v>
      </c>
      <c r="E90" s="6" t="s">
        <v>458</v>
      </c>
      <c r="F90" s="24">
        <f t="shared" si="7"/>
        <v>0.3598</v>
      </c>
      <c r="J90" s="24"/>
    </row>
    <row r="91">
      <c r="A91" s="6" t="s">
        <v>473</v>
      </c>
      <c r="B91" s="38">
        <v>3.0</v>
      </c>
      <c r="C91" s="6" t="s">
        <v>458</v>
      </c>
      <c r="D91" s="24">
        <f>'Full Inventory Cost'!L114</f>
        <v>1.299</v>
      </c>
      <c r="E91" s="6" t="s">
        <v>458</v>
      </c>
      <c r="F91" s="24">
        <f t="shared" si="7"/>
        <v>3.897</v>
      </c>
      <c r="J91" s="24"/>
    </row>
    <row r="92">
      <c r="A92" s="6" t="s">
        <v>459</v>
      </c>
      <c r="B92" s="38">
        <v>4.0</v>
      </c>
      <c r="C92" s="6" t="s">
        <v>343</v>
      </c>
      <c r="D92" s="24">
        <f t="shared" ref="D92:D93" si="8">D67</f>
        <v>0.3255555556</v>
      </c>
      <c r="E92" s="6" t="s">
        <v>343</v>
      </c>
      <c r="F92" s="24">
        <f t="shared" si="7"/>
        <v>1.302222222</v>
      </c>
      <c r="J92" s="24"/>
    </row>
    <row r="93">
      <c r="A93" s="6" t="s">
        <v>460</v>
      </c>
      <c r="B93" s="38">
        <v>2.0</v>
      </c>
      <c r="C93" s="6" t="s">
        <v>338</v>
      </c>
      <c r="D93" s="14">
        <f t="shared" si="8"/>
        <v>0.1040625</v>
      </c>
      <c r="E93" s="6" t="s">
        <v>338</v>
      </c>
      <c r="F93" s="14">
        <f t="shared" si="7"/>
        <v>0.208125</v>
      </c>
      <c r="J93" s="24"/>
    </row>
    <row r="94">
      <c r="A94" s="6" t="s">
        <v>479</v>
      </c>
      <c r="B94" s="38">
        <v>6.5</v>
      </c>
      <c r="C94" s="6" t="s">
        <v>410</v>
      </c>
      <c r="D94" s="24">
        <f>'Full Inventory Cost'!L91</f>
        <v>0</v>
      </c>
      <c r="E94" s="6" t="s">
        <v>410</v>
      </c>
      <c r="F94" s="24">
        <f t="shared" si="7"/>
        <v>0</v>
      </c>
      <c r="J94" s="24"/>
    </row>
    <row r="95">
      <c r="A95" s="6" t="s">
        <v>480</v>
      </c>
      <c r="B95" s="38">
        <v>4.0</v>
      </c>
      <c r="C95" s="6" t="s">
        <v>338</v>
      </c>
      <c r="D95" s="14">
        <f>'Full Inventory Cost'!N122</f>
        <v>0.1564666667</v>
      </c>
      <c r="E95" s="6" t="s">
        <v>338</v>
      </c>
      <c r="F95" s="14">
        <f t="shared" si="7"/>
        <v>0.6258666667</v>
      </c>
      <c r="J95" s="24"/>
    </row>
    <row r="96">
      <c r="A96" s="6" t="s">
        <v>394</v>
      </c>
      <c r="B96" s="38">
        <v>2.0</v>
      </c>
      <c r="C96" s="6" t="s">
        <v>338</v>
      </c>
      <c r="D96" s="14">
        <f>'Full Inventory Cost'!N126</f>
        <v>0.06247916667</v>
      </c>
      <c r="E96" s="6" t="s">
        <v>338</v>
      </c>
      <c r="F96" s="14">
        <f t="shared" si="7"/>
        <v>0.1249583333</v>
      </c>
      <c r="J96" s="24"/>
    </row>
    <row r="97">
      <c r="A97" s="6" t="s">
        <v>476</v>
      </c>
      <c r="B97" s="38">
        <v>2.0</v>
      </c>
      <c r="C97" s="6" t="s">
        <v>338</v>
      </c>
      <c r="D97" s="14">
        <f>D72</f>
        <v>0.007760416667</v>
      </c>
      <c r="E97" s="6" t="s">
        <v>338</v>
      </c>
      <c r="F97" s="14">
        <f t="shared" si="7"/>
        <v>0.01552083333</v>
      </c>
      <c r="J97" s="24"/>
    </row>
    <row r="98">
      <c r="A98" s="6" t="s">
        <v>462</v>
      </c>
      <c r="B98" s="38">
        <v>1.0</v>
      </c>
      <c r="C98" s="6" t="s">
        <v>338</v>
      </c>
      <c r="D98" s="14">
        <f>D74</f>
        <v>0.007760416667</v>
      </c>
      <c r="E98" s="6" t="s">
        <v>338</v>
      </c>
      <c r="F98" s="14">
        <f t="shared" si="7"/>
        <v>0.007760416667</v>
      </c>
      <c r="J98" s="24"/>
    </row>
    <row r="99">
      <c r="B99" s="77"/>
      <c r="J99" s="24"/>
    </row>
    <row r="100">
      <c r="A100" s="84" t="s">
        <v>465</v>
      </c>
      <c r="B100" s="77"/>
      <c r="J100" s="24"/>
    </row>
    <row r="101">
      <c r="A101" s="6" t="s">
        <v>457</v>
      </c>
      <c r="B101" s="38">
        <v>1.0</v>
      </c>
      <c r="C101" s="6" t="s">
        <v>410</v>
      </c>
      <c r="D101" s="24">
        <f>D90</f>
        <v>0.3598</v>
      </c>
      <c r="E101" s="6" t="s">
        <v>410</v>
      </c>
      <c r="F101" s="24">
        <f t="shared" ref="F101:F102" si="9">B101*D101</f>
        <v>0.3598</v>
      </c>
      <c r="J101" s="24"/>
    </row>
    <row r="102">
      <c r="A102" s="6" t="s">
        <v>481</v>
      </c>
      <c r="B102" s="38">
        <v>4.0</v>
      </c>
      <c r="C102" s="6" t="s">
        <v>372</v>
      </c>
      <c r="D102" s="14">
        <f>'Full Inventory Cost'!M126</f>
        <v>0.1874375</v>
      </c>
      <c r="E102" s="6" t="s">
        <v>372</v>
      </c>
      <c r="F102" s="14">
        <f t="shared" si="9"/>
        <v>0.74975</v>
      </c>
      <c r="J102" s="24"/>
    </row>
    <row r="103">
      <c r="B103" s="77"/>
      <c r="J103" s="24"/>
    </row>
    <row r="104">
      <c r="A104" s="84" t="s">
        <v>341</v>
      </c>
      <c r="B104" s="77"/>
      <c r="J104" s="24"/>
    </row>
    <row r="105">
      <c r="A105" s="6" t="s">
        <v>467</v>
      </c>
      <c r="B105" s="38">
        <f>B85</f>
        <v>25</v>
      </c>
      <c r="C105" s="6" t="s">
        <v>343</v>
      </c>
      <c r="D105" s="24">
        <f>D78</f>
        <v>0.03485</v>
      </c>
      <c r="E105" s="6" t="s">
        <v>343</v>
      </c>
      <c r="F105" s="24">
        <f>B105*D105</f>
        <v>0.87125</v>
      </c>
      <c r="J105" s="24"/>
    </row>
    <row r="106">
      <c r="B106" s="77"/>
      <c r="J106" s="24"/>
    </row>
    <row r="107">
      <c r="B107" s="77"/>
      <c r="E107" s="89" t="s">
        <v>347</v>
      </c>
      <c r="F107" s="90">
        <f>SUM(F88:F106)</f>
        <v>11.57205347</v>
      </c>
      <c r="G107" s="91" t="s">
        <v>348</v>
      </c>
      <c r="H107" s="91" t="s">
        <v>376</v>
      </c>
      <c r="I107" s="91" t="s">
        <v>350</v>
      </c>
      <c r="J107" s="143" t="s">
        <v>351</v>
      </c>
      <c r="K107" s="91" t="s">
        <v>352</v>
      </c>
    </row>
    <row r="108">
      <c r="B108" s="77"/>
      <c r="E108" s="92" t="s">
        <v>334</v>
      </c>
      <c r="F108" s="93">
        <f>F107/B85</f>
        <v>0.4628821389</v>
      </c>
      <c r="G108" s="24">
        <f>F108*5</f>
        <v>2.314410694</v>
      </c>
      <c r="H108" s="21">
        <v>3.0</v>
      </c>
      <c r="I108" s="95">
        <f>F108/H108</f>
        <v>0.1542940463</v>
      </c>
      <c r="J108" s="146">
        <v>4.0</v>
      </c>
      <c r="K108" s="147">
        <f>F108/J108</f>
        <v>0.1157205347</v>
      </c>
      <c r="L108" s="24">
        <f>J108-F108</f>
        <v>3.537117861</v>
      </c>
    </row>
    <row r="109">
      <c r="B109" s="77"/>
      <c r="J109" s="24"/>
    </row>
    <row r="110">
      <c r="B110" s="77"/>
      <c r="J110" s="24"/>
    </row>
    <row r="111">
      <c r="A111" s="78" t="s">
        <v>325</v>
      </c>
      <c r="B111" s="78" t="s">
        <v>482</v>
      </c>
      <c r="C111" s="136"/>
      <c r="E111" s="15" t="s">
        <v>483</v>
      </c>
      <c r="J111" s="24"/>
    </row>
    <row r="112">
      <c r="A112" s="22" t="s">
        <v>329</v>
      </c>
      <c r="B112" s="22">
        <v>20.0</v>
      </c>
      <c r="J112" s="24"/>
    </row>
    <row r="113">
      <c r="B113" s="77"/>
      <c r="J113" s="24"/>
    </row>
    <row r="114">
      <c r="A114" s="81" t="s">
        <v>332</v>
      </c>
      <c r="B114" s="82" t="s">
        <v>333</v>
      </c>
      <c r="C114" s="83"/>
      <c r="D114" s="82" t="s">
        <v>334</v>
      </c>
      <c r="E114" s="83"/>
      <c r="F114" s="81" t="s">
        <v>335</v>
      </c>
      <c r="J114" s="24"/>
    </row>
    <row r="115">
      <c r="A115" s="84" t="s">
        <v>472</v>
      </c>
      <c r="B115" s="38"/>
      <c r="C115" s="6"/>
      <c r="E115" s="6"/>
      <c r="J115" s="24"/>
    </row>
    <row r="116">
      <c r="A116" s="6" t="s">
        <v>456</v>
      </c>
      <c r="B116" s="38">
        <v>2.0</v>
      </c>
      <c r="C116" s="6" t="s">
        <v>410</v>
      </c>
      <c r="D116" s="24">
        <f>'Full Inventory Cost'!L110</f>
        <v>1.525</v>
      </c>
      <c r="E116" s="6" t="s">
        <v>410</v>
      </c>
      <c r="F116" s="24">
        <f t="shared" ref="F116:F123" si="10">B116*D116</f>
        <v>3.05</v>
      </c>
      <c r="J116" s="24"/>
    </row>
    <row r="117">
      <c r="A117" s="6" t="s">
        <v>457</v>
      </c>
      <c r="B117" s="38">
        <v>1.0</v>
      </c>
      <c r="C117" s="6" t="s">
        <v>458</v>
      </c>
      <c r="D117" s="24">
        <f>'Full Inventory Cost'!L111</f>
        <v>0.3598</v>
      </c>
      <c r="E117" s="6" t="s">
        <v>458</v>
      </c>
      <c r="F117" s="24">
        <f t="shared" si="10"/>
        <v>0.3598</v>
      </c>
      <c r="J117" s="24"/>
    </row>
    <row r="118">
      <c r="A118" s="6" t="s">
        <v>473</v>
      </c>
      <c r="B118" s="38">
        <v>3.0</v>
      </c>
      <c r="C118" s="6" t="s">
        <v>458</v>
      </c>
      <c r="D118" s="24">
        <f>'Full Inventory Cost'!L89</f>
        <v>0.605</v>
      </c>
      <c r="E118" s="6" t="s">
        <v>458</v>
      </c>
      <c r="F118" s="24">
        <f t="shared" si="10"/>
        <v>1.815</v>
      </c>
      <c r="J118" s="24"/>
    </row>
    <row r="119">
      <c r="A119" s="6" t="s">
        <v>431</v>
      </c>
      <c r="B119" s="38">
        <v>12.0</v>
      </c>
      <c r="C119" s="6" t="s">
        <v>372</v>
      </c>
      <c r="D119" s="21">
        <v>0.02</v>
      </c>
      <c r="E119" s="6" t="s">
        <v>372</v>
      </c>
      <c r="F119" s="24">
        <f t="shared" si="10"/>
        <v>0.24</v>
      </c>
      <c r="J119" s="24"/>
    </row>
    <row r="120">
      <c r="A120" s="6" t="s">
        <v>460</v>
      </c>
      <c r="B120" s="38">
        <v>2.0</v>
      </c>
      <c r="C120" s="6" t="s">
        <v>338</v>
      </c>
      <c r="D120" s="14">
        <f>D95</f>
        <v>0.1564666667</v>
      </c>
      <c r="E120" s="6" t="s">
        <v>338</v>
      </c>
      <c r="F120" s="14">
        <f t="shared" si="10"/>
        <v>0.3129333333</v>
      </c>
      <c r="J120" s="24"/>
    </row>
    <row r="121">
      <c r="A121" s="6" t="s">
        <v>461</v>
      </c>
      <c r="B121" s="38">
        <v>6.5</v>
      </c>
      <c r="C121" s="6" t="s">
        <v>410</v>
      </c>
      <c r="D121" s="24">
        <f>D70</f>
        <v>0.1498</v>
      </c>
      <c r="E121" s="6" t="s">
        <v>410</v>
      </c>
      <c r="F121" s="24">
        <f t="shared" si="10"/>
        <v>0.9737</v>
      </c>
      <c r="J121" s="24"/>
    </row>
    <row r="122">
      <c r="A122" s="6" t="s">
        <v>476</v>
      </c>
      <c r="B122" s="38">
        <v>2.0</v>
      </c>
      <c r="C122" s="6" t="s">
        <v>338</v>
      </c>
      <c r="D122" s="14">
        <f>'Full Inventory Cost'!N95</f>
        <v>0.007760416667</v>
      </c>
      <c r="E122" s="6" t="s">
        <v>338</v>
      </c>
      <c r="F122" s="14">
        <f t="shared" si="10"/>
        <v>0.01552083333</v>
      </c>
      <c r="J122" s="24"/>
    </row>
    <row r="123">
      <c r="A123" s="6" t="s">
        <v>469</v>
      </c>
      <c r="B123" s="38">
        <v>1.5</v>
      </c>
      <c r="C123" s="6" t="s">
        <v>410</v>
      </c>
      <c r="D123" s="24">
        <f>D75</f>
        <v>1.554444444</v>
      </c>
      <c r="E123" s="6" t="s">
        <v>410</v>
      </c>
      <c r="F123" s="24">
        <f t="shared" si="10"/>
        <v>2.331666667</v>
      </c>
      <c r="J123" s="24"/>
    </row>
    <row r="124">
      <c r="B124" s="77"/>
      <c r="J124" s="24"/>
    </row>
    <row r="125">
      <c r="A125" s="84" t="s">
        <v>341</v>
      </c>
      <c r="B125" s="77"/>
      <c r="J125" s="24"/>
    </row>
    <row r="126">
      <c r="A126" s="6" t="s">
        <v>467</v>
      </c>
      <c r="B126" s="38">
        <f>B112</f>
        <v>20</v>
      </c>
      <c r="C126" s="6" t="s">
        <v>343</v>
      </c>
      <c r="D126" s="24">
        <f>D105</f>
        <v>0.03485</v>
      </c>
      <c r="E126" s="6" t="s">
        <v>343</v>
      </c>
      <c r="F126" s="24">
        <f>B126*D126</f>
        <v>0.697</v>
      </c>
      <c r="J126" s="24"/>
    </row>
    <row r="127">
      <c r="B127" s="77"/>
      <c r="J127" s="24"/>
    </row>
    <row r="128">
      <c r="B128" s="77"/>
      <c r="E128" s="89" t="s">
        <v>347</v>
      </c>
      <c r="F128" s="90">
        <f>SUM(F115:F127)</f>
        <v>9.795620833</v>
      </c>
      <c r="G128" s="91" t="s">
        <v>348</v>
      </c>
      <c r="H128" s="91" t="s">
        <v>376</v>
      </c>
      <c r="I128" s="91" t="s">
        <v>350</v>
      </c>
      <c r="J128" s="143" t="s">
        <v>351</v>
      </c>
      <c r="K128" s="91" t="s">
        <v>352</v>
      </c>
    </row>
    <row r="129">
      <c r="B129" s="77"/>
      <c r="E129" s="92" t="s">
        <v>334</v>
      </c>
      <c r="F129" s="93">
        <f>F128/B112</f>
        <v>0.4897810417</v>
      </c>
      <c r="G129" s="24">
        <f>F129*5</f>
        <v>2.448905208</v>
      </c>
      <c r="H129" s="21">
        <v>3.0</v>
      </c>
      <c r="I129" s="95">
        <f>F129/H129</f>
        <v>0.1632603472</v>
      </c>
      <c r="J129" s="144">
        <v>3.75</v>
      </c>
      <c r="K129" s="96">
        <f>F129/J129</f>
        <v>0.1306082778</v>
      </c>
      <c r="L129" s="24">
        <f>J129-F129</f>
        <v>3.260218958</v>
      </c>
    </row>
    <row r="130">
      <c r="B130" s="77"/>
      <c r="J130" s="24"/>
    </row>
    <row r="131">
      <c r="B131" s="77"/>
      <c r="J131" s="24"/>
    </row>
    <row r="132">
      <c r="A132" s="78" t="s">
        <v>325</v>
      </c>
      <c r="B132" s="78" t="s">
        <v>484</v>
      </c>
      <c r="C132" s="136"/>
      <c r="J132" s="24"/>
    </row>
    <row r="133">
      <c r="A133" s="22" t="s">
        <v>329</v>
      </c>
      <c r="B133" s="22">
        <v>9.5</v>
      </c>
      <c r="C133" s="6" t="s">
        <v>485</v>
      </c>
      <c r="J133" s="24"/>
    </row>
    <row r="134">
      <c r="B134" s="77"/>
      <c r="J134" s="24"/>
    </row>
    <row r="135">
      <c r="A135" s="81" t="s">
        <v>332</v>
      </c>
      <c r="B135" s="82" t="s">
        <v>333</v>
      </c>
      <c r="C135" s="83"/>
      <c r="D135" s="82" t="s">
        <v>334</v>
      </c>
      <c r="E135" s="83"/>
      <c r="F135" s="81" t="s">
        <v>335</v>
      </c>
      <c r="J135" s="24"/>
    </row>
    <row r="136">
      <c r="A136" s="84" t="s">
        <v>486</v>
      </c>
      <c r="B136" s="38"/>
      <c r="C136" s="6"/>
      <c r="E136" s="6"/>
      <c r="J136" s="24"/>
    </row>
    <row r="137">
      <c r="A137" s="6" t="s">
        <v>456</v>
      </c>
      <c r="B137" s="38">
        <v>0.25</v>
      </c>
      <c r="C137" s="6" t="s">
        <v>410</v>
      </c>
      <c r="D137" s="24">
        <f>D89</f>
        <v>1.525</v>
      </c>
      <c r="E137" s="6" t="s">
        <v>410</v>
      </c>
      <c r="F137" s="24">
        <f t="shared" ref="F137:F146" si="11">B137*D137</f>
        <v>0.38125</v>
      </c>
      <c r="J137" s="24"/>
    </row>
    <row r="138">
      <c r="A138" s="6" t="s">
        <v>487</v>
      </c>
      <c r="B138" s="38">
        <v>0.25</v>
      </c>
      <c r="C138" s="6" t="s">
        <v>458</v>
      </c>
      <c r="D138" s="24">
        <f>'Full Inventory Cost'!L114</f>
        <v>1.299</v>
      </c>
      <c r="E138" s="6" t="s">
        <v>458</v>
      </c>
      <c r="F138" s="24">
        <f t="shared" si="11"/>
        <v>0.32475</v>
      </c>
      <c r="J138" s="24"/>
    </row>
    <row r="139">
      <c r="A139" s="6" t="s">
        <v>488</v>
      </c>
      <c r="B139" s="38">
        <v>1.0</v>
      </c>
      <c r="C139" s="6" t="s">
        <v>458</v>
      </c>
      <c r="D139" s="24">
        <f>'Full Inventory Cost'!L93</f>
        <v>0.391</v>
      </c>
      <c r="E139" s="6" t="s">
        <v>458</v>
      </c>
      <c r="F139" s="24">
        <f t="shared" si="11"/>
        <v>0.391</v>
      </c>
      <c r="J139" s="24"/>
    </row>
    <row r="140">
      <c r="A140" s="6" t="s">
        <v>461</v>
      </c>
      <c r="B140" s="38">
        <v>1.0</v>
      </c>
      <c r="C140" s="6" t="s">
        <v>410</v>
      </c>
      <c r="D140" s="24">
        <f>D70</f>
        <v>0.1498</v>
      </c>
      <c r="E140" s="6" t="s">
        <v>410</v>
      </c>
      <c r="F140" s="24">
        <f t="shared" si="11"/>
        <v>0.1498</v>
      </c>
      <c r="J140" s="24"/>
    </row>
    <row r="141">
      <c r="A141" s="6" t="s">
        <v>457</v>
      </c>
      <c r="B141" s="38">
        <v>0.5</v>
      </c>
      <c r="C141" s="6" t="s">
        <v>410</v>
      </c>
      <c r="D141" s="24">
        <f>D90</f>
        <v>0.3598</v>
      </c>
      <c r="E141" s="6" t="s">
        <v>410</v>
      </c>
      <c r="F141" s="24">
        <f t="shared" si="11"/>
        <v>0.1799</v>
      </c>
      <c r="J141" s="24"/>
    </row>
    <row r="142">
      <c r="A142" s="6" t="s">
        <v>463</v>
      </c>
      <c r="B142" s="38">
        <v>1.0</v>
      </c>
      <c r="C142" s="6" t="s">
        <v>372</v>
      </c>
      <c r="D142" s="14">
        <f>'Full Inventory Cost'!M94</f>
        <v>0.1283950617</v>
      </c>
      <c r="E142" s="6" t="s">
        <v>372</v>
      </c>
      <c r="F142" s="14">
        <f t="shared" si="11"/>
        <v>0.1283950617</v>
      </c>
      <c r="J142" s="24"/>
    </row>
    <row r="143">
      <c r="A143" s="6" t="s">
        <v>462</v>
      </c>
      <c r="B143" s="38">
        <v>1.0</v>
      </c>
      <c r="C143" s="6" t="s">
        <v>338</v>
      </c>
      <c r="D143" s="14">
        <f>D98</f>
        <v>0.007760416667</v>
      </c>
      <c r="E143" s="6" t="s">
        <v>338</v>
      </c>
      <c r="F143" s="24">
        <f t="shared" si="11"/>
        <v>0.007760416667</v>
      </c>
      <c r="J143" s="24"/>
    </row>
    <row r="144">
      <c r="A144" s="6" t="s">
        <v>339</v>
      </c>
      <c r="B144" s="38">
        <v>1.0</v>
      </c>
      <c r="C144" s="6" t="s">
        <v>410</v>
      </c>
      <c r="D144" s="24">
        <f>'Full Inventory Cost'!L20</f>
        <v>0.24875</v>
      </c>
      <c r="E144" s="6" t="s">
        <v>410</v>
      </c>
      <c r="F144" s="24">
        <f t="shared" si="11"/>
        <v>0.24875</v>
      </c>
      <c r="J144" s="24"/>
    </row>
    <row r="145">
      <c r="A145" s="6" t="s">
        <v>489</v>
      </c>
      <c r="B145" s="38">
        <v>4.0</v>
      </c>
      <c r="C145" s="6" t="s">
        <v>338</v>
      </c>
      <c r="D145" s="14">
        <f>'Full Inventory Cost'!N122</f>
        <v>0.1564666667</v>
      </c>
      <c r="E145" s="6" t="s">
        <v>338</v>
      </c>
      <c r="F145" s="14">
        <f t="shared" si="11"/>
        <v>0.6258666667</v>
      </c>
      <c r="J145" s="24"/>
    </row>
    <row r="146">
      <c r="A146" s="6" t="s">
        <v>394</v>
      </c>
      <c r="B146" s="38">
        <v>1.0</v>
      </c>
      <c r="C146" s="6" t="s">
        <v>372</v>
      </c>
      <c r="D146" s="14">
        <f>D97</f>
        <v>0.007760416667</v>
      </c>
      <c r="E146" s="6" t="s">
        <v>372</v>
      </c>
      <c r="F146" s="14">
        <f t="shared" si="11"/>
        <v>0.007760416667</v>
      </c>
      <c r="J146" s="24"/>
    </row>
    <row r="147">
      <c r="B147" s="77"/>
      <c r="J147" s="24"/>
    </row>
    <row r="148">
      <c r="A148" s="84" t="s">
        <v>465</v>
      </c>
      <c r="B148" s="77"/>
      <c r="J148" s="24"/>
    </row>
    <row r="149">
      <c r="A149" s="6" t="s">
        <v>490</v>
      </c>
      <c r="B149" s="38">
        <v>2.0</v>
      </c>
      <c r="C149" s="6" t="s">
        <v>338</v>
      </c>
      <c r="D149" s="14">
        <f>'Full Inventory Cost'!N90</f>
        <v>0.01260416667</v>
      </c>
      <c r="E149" s="6" t="s">
        <v>338</v>
      </c>
      <c r="F149" s="14">
        <f>B149*D149</f>
        <v>0.02520833333</v>
      </c>
      <c r="J149" s="24"/>
    </row>
    <row r="150">
      <c r="B150" s="77"/>
      <c r="J150" s="24"/>
    </row>
    <row r="151">
      <c r="A151" s="84" t="s">
        <v>341</v>
      </c>
      <c r="B151" s="77"/>
      <c r="J151" s="24"/>
    </row>
    <row r="152">
      <c r="A152" s="6" t="s">
        <v>467</v>
      </c>
      <c r="B152" s="38">
        <f>B133</f>
        <v>9.5</v>
      </c>
      <c r="C152" s="6" t="s">
        <v>343</v>
      </c>
      <c r="D152" s="24">
        <f>D105</f>
        <v>0.03485</v>
      </c>
      <c r="E152" s="6" t="s">
        <v>343</v>
      </c>
      <c r="F152" s="24">
        <f>B152*D152</f>
        <v>0.331075</v>
      </c>
      <c r="J152" s="24"/>
    </row>
    <row r="153">
      <c r="B153" s="77"/>
      <c r="J153" s="24"/>
    </row>
    <row r="154">
      <c r="B154" s="77"/>
      <c r="E154" s="89" t="s">
        <v>347</v>
      </c>
      <c r="F154" s="90">
        <f>SUM(F136:F153)</f>
        <v>2.801515895</v>
      </c>
      <c r="G154" s="91" t="s">
        <v>348</v>
      </c>
      <c r="H154" s="91" t="s">
        <v>376</v>
      </c>
      <c r="I154" s="91" t="s">
        <v>350</v>
      </c>
      <c r="J154" s="143" t="s">
        <v>351</v>
      </c>
      <c r="K154" s="91" t="s">
        <v>352</v>
      </c>
    </row>
    <row r="155">
      <c r="B155" s="77"/>
      <c r="E155" s="92" t="s">
        <v>491</v>
      </c>
      <c r="F155" s="93">
        <f>F154/B133</f>
        <v>0.29489641</v>
      </c>
      <c r="G155" s="24">
        <f>F155*5</f>
        <v>1.47448205</v>
      </c>
      <c r="H155" s="21">
        <v>3.0</v>
      </c>
      <c r="I155" s="95">
        <f>F155/H155</f>
        <v>0.09829880334</v>
      </c>
      <c r="J155" s="144">
        <v>4.25</v>
      </c>
      <c r="K155" s="96">
        <f>F155/J155</f>
        <v>0.06938739059</v>
      </c>
      <c r="L155" s="24">
        <f>J155-F155</f>
        <v>3.95510359</v>
      </c>
    </row>
    <row r="156">
      <c r="B156" s="77"/>
      <c r="J156" s="24"/>
    </row>
    <row r="157">
      <c r="B157" s="77"/>
      <c r="J157" s="24"/>
    </row>
    <row r="158">
      <c r="A158" s="78" t="s">
        <v>325</v>
      </c>
      <c r="B158" s="78" t="s">
        <v>492</v>
      </c>
      <c r="C158" s="136"/>
      <c r="J158" s="24"/>
    </row>
    <row r="159">
      <c r="A159" s="22" t="s">
        <v>329</v>
      </c>
      <c r="B159" s="22">
        <v>8.0</v>
      </c>
      <c r="J159" s="24"/>
    </row>
    <row r="160">
      <c r="B160" s="77"/>
      <c r="J160" s="24"/>
    </row>
    <row r="161">
      <c r="A161" s="81" t="s">
        <v>332</v>
      </c>
      <c r="B161" s="82" t="s">
        <v>333</v>
      </c>
      <c r="C161" s="83"/>
      <c r="D161" s="82" t="s">
        <v>334</v>
      </c>
      <c r="E161" s="83"/>
      <c r="F161" s="81" t="s">
        <v>335</v>
      </c>
      <c r="J161" s="24"/>
    </row>
    <row r="162">
      <c r="A162" s="84" t="s">
        <v>493</v>
      </c>
      <c r="B162" s="38"/>
      <c r="C162" s="6"/>
      <c r="E162" s="6"/>
      <c r="J162" s="24"/>
    </row>
    <row r="163">
      <c r="A163" s="6" t="s">
        <v>494</v>
      </c>
      <c r="B163" s="38">
        <v>3.0</v>
      </c>
      <c r="C163" s="6" t="s">
        <v>343</v>
      </c>
      <c r="D163" s="24">
        <f>'Full Inventory Cost'!K16</f>
        <v>0.03149224806</v>
      </c>
      <c r="E163" s="6" t="s">
        <v>343</v>
      </c>
      <c r="F163" s="24">
        <f t="shared" ref="F163:F175" si="12">B163*D163</f>
        <v>0.09447674419</v>
      </c>
      <c r="J163" s="24"/>
    </row>
    <row r="164">
      <c r="A164" s="6" t="s">
        <v>457</v>
      </c>
      <c r="B164" s="38">
        <v>0.5</v>
      </c>
      <c r="C164" s="6" t="s">
        <v>458</v>
      </c>
      <c r="D164" s="24">
        <f>D141</f>
        <v>0.3598</v>
      </c>
      <c r="E164" s="6" t="s">
        <v>458</v>
      </c>
      <c r="F164" s="24">
        <f t="shared" si="12"/>
        <v>0.1799</v>
      </c>
      <c r="J164" s="24"/>
    </row>
    <row r="165">
      <c r="A165" s="6" t="s">
        <v>473</v>
      </c>
      <c r="B165" s="38">
        <v>0.5</v>
      </c>
      <c r="C165" s="6" t="s">
        <v>458</v>
      </c>
      <c r="D165" s="24">
        <f>D91</f>
        <v>1.299</v>
      </c>
      <c r="E165" s="6" t="s">
        <v>458</v>
      </c>
      <c r="F165" s="24">
        <f t="shared" si="12"/>
        <v>0.6495</v>
      </c>
      <c r="J165" s="24"/>
    </row>
    <row r="166">
      <c r="A166" s="6" t="s">
        <v>456</v>
      </c>
      <c r="B166" s="38">
        <v>0.5</v>
      </c>
      <c r="C166" s="6" t="s">
        <v>458</v>
      </c>
      <c r="D166" s="24">
        <f>D137</f>
        <v>1.525</v>
      </c>
      <c r="E166" s="6" t="s">
        <v>458</v>
      </c>
      <c r="F166" s="24">
        <f t="shared" si="12"/>
        <v>0.7625</v>
      </c>
      <c r="J166" s="24"/>
    </row>
    <row r="167">
      <c r="A167" s="6" t="s">
        <v>459</v>
      </c>
      <c r="B167" s="38">
        <v>2.0</v>
      </c>
      <c r="C167" s="6" t="s">
        <v>343</v>
      </c>
      <c r="D167" s="24">
        <f>D92</f>
        <v>0.3255555556</v>
      </c>
      <c r="E167" s="6" t="s">
        <v>343</v>
      </c>
      <c r="F167" s="24">
        <f t="shared" si="12"/>
        <v>0.6511111111</v>
      </c>
      <c r="J167" s="24"/>
    </row>
    <row r="168">
      <c r="A168" s="6" t="s">
        <v>431</v>
      </c>
      <c r="B168" s="38">
        <v>0.5</v>
      </c>
      <c r="C168" s="6" t="s">
        <v>410</v>
      </c>
      <c r="D168" s="24">
        <f>D46</f>
        <v>0.24875</v>
      </c>
      <c r="E168" s="6" t="s">
        <v>410</v>
      </c>
      <c r="F168" s="24">
        <f t="shared" si="12"/>
        <v>0.124375</v>
      </c>
      <c r="J168" s="24"/>
    </row>
    <row r="169">
      <c r="A169" s="6" t="s">
        <v>495</v>
      </c>
      <c r="B169" s="38">
        <v>1.0</v>
      </c>
      <c r="C169" s="6" t="s">
        <v>338</v>
      </c>
      <c r="D169" s="14">
        <f>D93</f>
        <v>0.1040625</v>
      </c>
      <c r="E169" s="6" t="s">
        <v>338</v>
      </c>
      <c r="F169" s="14">
        <f t="shared" si="12"/>
        <v>0.1040625</v>
      </c>
      <c r="J169" s="24"/>
    </row>
    <row r="170">
      <c r="A170" s="6" t="s">
        <v>461</v>
      </c>
      <c r="B170" s="38">
        <v>1.5</v>
      </c>
      <c r="C170" s="6" t="s">
        <v>410</v>
      </c>
      <c r="D170" s="24">
        <f>D43</f>
        <v>0.1498</v>
      </c>
      <c r="E170" s="6" t="s">
        <v>410</v>
      </c>
      <c r="F170" s="24">
        <f t="shared" si="12"/>
        <v>0.2247</v>
      </c>
      <c r="J170" s="24"/>
    </row>
    <row r="171">
      <c r="A171" s="6" t="s">
        <v>476</v>
      </c>
      <c r="B171" s="38">
        <v>1.0</v>
      </c>
      <c r="C171" s="6" t="s">
        <v>338</v>
      </c>
      <c r="D171" s="14">
        <f>D97</f>
        <v>0.007760416667</v>
      </c>
      <c r="E171" s="6" t="s">
        <v>338</v>
      </c>
      <c r="F171" s="14">
        <f t="shared" si="12"/>
        <v>0.007760416667</v>
      </c>
      <c r="J171" s="24"/>
    </row>
    <row r="172">
      <c r="A172" s="6" t="s">
        <v>463</v>
      </c>
      <c r="B172" s="38">
        <v>1.0</v>
      </c>
      <c r="C172" s="6" t="s">
        <v>338</v>
      </c>
      <c r="D172" s="14">
        <f>D73</f>
        <v>0.04279835391</v>
      </c>
      <c r="E172" s="6" t="s">
        <v>338</v>
      </c>
      <c r="F172" s="14">
        <f t="shared" si="12"/>
        <v>0.04279835391</v>
      </c>
      <c r="J172" s="24"/>
    </row>
    <row r="173">
      <c r="A173" s="6" t="s">
        <v>496</v>
      </c>
      <c r="B173" s="38">
        <v>0.25</v>
      </c>
      <c r="C173" s="6" t="s">
        <v>338</v>
      </c>
      <c r="D173" s="14">
        <f>D143</f>
        <v>0.007760416667</v>
      </c>
      <c r="E173" s="6" t="s">
        <v>338</v>
      </c>
      <c r="F173" s="14">
        <f t="shared" si="12"/>
        <v>0.001940104167</v>
      </c>
      <c r="J173" s="24"/>
    </row>
    <row r="174">
      <c r="A174" s="6" t="s">
        <v>394</v>
      </c>
      <c r="B174" s="38">
        <v>0.25</v>
      </c>
      <c r="C174" s="6" t="s">
        <v>338</v>
      </c>
      <c r="D174" s="14">
        <f>'Full Inventory Cost'!N126</f>
        <v>0.06247916667</v>
      </c>
      <c r="E174" s="6" t="s">
        <v>338</v>
      </c>
      <c r="F174" s="14">
        <f t="shared" si="12"/>
        <v>0.01561979167</v>
      </c>
      <c r="J174" s="24"/>
    </row>
    <row r="175">
      <c r="A175" s="6" t="s">
        <v>497</v>
      </c>
      <c r="B175" s="38">
        <v>0.5</v>
      </c>
      <c r="C175" s="6" t="s">
        <v>410</v>
      </c>
      <c r="D175" s="24">
        <f>'Full Inventory Cost'!L124</f>
        <v>0</v>
      </c>
      <c r="E175" s="6" t="s">
        <v>410</v>
      </c>
      <c r="F175" s="24">
        <f t="shared" si="12"/>
        <v>0</v>
      </c>
      <c r="J175" s="24"/>
    </row>
    <row r="176">
      <c r="B176" s="77"/>
      <c r="J176" s="24"/>
    </row>
    <row r="177">
      <c r="A177" s="84" t="s">
        <v>465</v>
      </c>
      <c r="B177" s="77"/>
      <c r="J177" s="24"/>
    </row>
    <row r="178">
      <c r="A178" s="6" t="s">
        <v>497</v>
      </c>
      <c r="B178" s="38">
        <v>0.0</v>
      </c>
      <c r="C178" s="6" t="s">
        <v>410</v>
      </c>
      <c r="D178" s="24">
        <f>D175</f>
        <v>0</v>
      </c>
      <c r="E178" s="6" t="s">
        <v>410</v>
      </c>
      <c r="F178" s="24">
        <f>B178*D178</f>
        <v>0</v>
      </c>
      <c r="J178" s="24"/>
    </row>
    <row r="179">
      <c r="B179" s="77"/>
      <c r="J179" s="24"/>
    </row>
    <row r="180">
      <c r="A180" s="84" t="s">
        <v>341</v>
      </c>
      <c r="B180" s="77"/>
      <c r="J180" s="24"/>
    </row>
    <row r="181">
      <c r="A181" s="6" t="s">
        <v>467</v>
      </c>
      <c r="B181" s="38">
        <f>B159</f>
        <v>8</v>
      </c>
      <c r="C181" s="6" t="s">
        <v>343</v>
      </c>
      <c r="D181" s="24">
        <f>D152</f>
        <v>0.03485</v>
      </c>
      <c r="E181" s="6" t="s">
        <v>343</v>
      </c>
      <c r="F181" s="24">
        <f>B181*D181</f>
        <v>0.2788</v>
      </c>
      <c r="J181" s="24"/>
    </row>
    <row r="182">
      <c r="B182" s="77"/>
      <c r="J182" s="24"/>
    </row>
    <row r="183">
      <c r="B183" s="77"/>
      <c r="E183" s="89" t="s">
        <v>347</v>
      </c>
      <c r="F183" s="90">
        <f>SUM(F162:F182)</f>
        <v>3.137544022</v>
      </c>
      <c r="G183" s="91" t="s">
        <v>348</v>
      </c>
      <c r="H183" s="91" t="s">
        <v>376</v>
      </c>
      <c r="I183" s="91" t="s">
        <v>350</v>
      </c>
      <c r="J183" s="143" t="s">
        <v>351</v>
      </c>
      <c r="K183" s="91" t="s">
        <v>352</v>
      </c>
    </row>
    <row r="184">
      <c r="B184" s="77"/>
      <c r="E184" s="92" t="s">
        <v>334</v>
      </c>
      <c r="F184" s="93">
        <f>F183/B159</f>
        <v>0.3921930027</v>
      </c>
      <c r="G184" s="24">
        <f>F184*5</f>
        <v>1.960965014</v>
      </c>
      <c r="H184" s="21">
        <v>4.0</v>
      </c>
      <c r="I184" s="95">
        <f>F184/H184</f>
        <v>0.09804825068</v>
      </c>
      <c r="J184" s="144">
        <v>4.5</v>
      </c>
      <c r="K184" s="96">
        <f>F184/J184</f>
        <v>0.0871540006</v>
      </c>
      <c r="L184" s="24">
        <f>J184-F184</f>
        <v>4.107806997</v>
      </c>
    </row>
    <row r="185">
      <c r="B185" s="77"/>
      <c r="J185" s="24"/>
    </row>
    <row r="186">
      <c r="B186" s="77"/>
      <c r="J186" s="24"/>
    </row>
    <row r="187">
      <c r="A187" s="78" t="s">
        <v>325</v>
      </c>
      <c r="B187" s="78" t="s">
        <v>498</v>
      </c>
      <c r="C187" s="136"/>
      <c r="J187" s="24"/>
    </row>
    <row r="188">
      <c r="A188" s="22" t="s">
        <v>329</v>
      </c>
      <c r="B188" s="22">
        <v>16.0</v>
      </c>
      <c r="J188" s="24"/>
    </row>
    <row r="189">
      <c r="B189" s="77"/>
      <c r="J189" s="24"/>
    </row>
    <row r="190">
      <c r="A190" s="81" t="s">
        <v>332</v>
      </c>
      <c r="B190" s="82" t="s">
        <v>333</v>
      </c>
      <c r="C190" s="83"/>
      <c r="D190" s="82" t="s">
        <v>334</v>
      </c>
      <c r="E190" s="83"/>
      <c r="F190" s="81" t="s">
        <v>335</v>
      </c>
      <c r="J190" s="24"/>
    </row>
    <row r="191">
      <c r="A191" s="84" t="s">
        <v>499</v>
      </c>
      <c r="B191" s="38"/>
      <c r="C191" s="6"/>
      <c r="E191" s="6"/>
      <c r="J191" s="24"/>
    </row>
    <row r="192">
      <c r="A192" s="6" t="s">
        <v>461</v>
      </c>
      <c r="B192" s="38">
        <v>3.5</v>
      </c>
      <c r="C192" s="6" t="s">
        <v>410</v>
      </c>
      <c r="D192" s="24">
        <f>D170</f>
        <v>0.1498</v>
      </c>
      <c r="E192" s="6" t="s">
        <v>410</v>
      </c>
      <c r="F192" s="24">
        <f t="shared" ref="F192:F201" si="13">B192*D192</f>
        <v>0.5243</v>
      </c>
      <c r="J192" s="24"/>
    </row>
    <row r="193">
      <c r="A193" s="6" t="s">
        <v>457</v>
      </c>
      <c r="B193" s="38">
        <v>3.0</v>
      </c>
      <c r="C193" s="6" t="s">
        <v>458</v>
      </c>
      <c r="D193" s="24">
        <f>D164</f>
        <v>0.3598</v>
      </c>
      <c r="E193" s="6" t="s">
        <v>458</v>
      </c>
      <c r="F193" s="24">
        <f t="shared" si="13"/>
        <v>1.0794</v>
      </c>
      <c r="J193" s="24"/>
    </row>
    <row r="194">
      <c r="A194" s="6" t="s">
        <v>500</v>
      </c>
      <c r="B194" s="38">
        <v>1.0</v>
      </c>
      <c r="C194" s="6" t="s">
        <v>458</v>
      </c>
      <c r="D194" s="24">
        <f>'Full Inventory Cost'!L113</f>
        <v>0.4579166667</v>
      </c>
      <c r="E194" s="6" t="s">
        <v>458</v>
      </c>
      <c r="F194" s="24">
        <f t="shared" si="13"/>
        <v>0.4579166667</v>
      </c>
      <c r="J194" s="24"/>
    </row>
    <row r="195">
      <c r="A195" s="6" t="s">
        <v>459</v>
      </c>
      <c r="B195" s="38">
        <v>4.0</v>
      </c>
      <c r="C195" s="6" t="s">
        <v>343</v>
      </c>
      <c r="D195" s="24">
        <f>D167</f>
        <v>0.3255555556</v>
      </c>
      <c r="E195" s="6" t="s">
        <v>343</v>
      </c>
      <c r="F195" s="24">
        <f t="shared" si="13"/>
        <v>1.302222222</v>
      </c>
      <c r="J195" s="24"/>
    </row>
    <row r="196">
      <c r="A196" s="6" t="s">
        <v>496</v>
      </c>
      <c r="B196" s="38">
        <v>1.5</v>
      </c>
      <c r="C196" s="6" t="s">
        <v>338</v>
      </c>
      <c r="D196" s="14">
        <f>D173</f>
        <v>0.007760416667</v>
      </c>
      <c r="E196" s="6" t="s">
        <v>338</v>
      </c>
      <c r="F196" s="14">
        <f t="shared" si="13"/>
        <v>0.011640625</v>
      </c>
      <c r="J196" s="24"/>
    </row>
    <row r="197">
      <c r="A197" s="6" t="s">
        <v>501</v>
      </c>
      <c r="B197" s="38">
        <v>1.0</v>
      </c>
      <c r="C197" s="6" t="s">
        <v>338</v>
      </c>
      <c r="D197" s="14">
        <f>'Full Inventory Cost'!N62</f>
        <v>0.1517948718</v>
      </c>
      <c r="E197" s="6" t="s">
        <v>338</v>
      </c>
      <c r="F197" s="14">
        <f t="shared" si="13"/>
        <v>0.1517948718</v>
      </c>
      <c r="J197" s="24"/>
    </row>
    <row r="198">
      <c r="A198" s="6" t="s">
        <v>394</v>
      </c>
      <c r="B198" s="38">
        <v>1.0</v>
      </c>
      <c r="C198" s="6" t="s">
        <v>338</v>
      </c>
      <c r="D198" s="14">
        <f>D174</f>
        <v>0.06247916667</v>
      </c>
      <c r="E198" s="6" t="s">
        <v>338</v>
      </c>
      <c r="F198" s="14">
        <f t="shared" si="13"/>
        <v>0.06247916667</v>
      </c>
      <c r="J198" s="24"/>
    </row>
    <row r="199">
      <c r="A199" s="6" t="s">
        <v>476</v>
      </c>
      <c r="B199" s="38">
        <v>2.0</v>
      </c>
      <c r="C199" s="6" t="s">
        <v>338</v>
      </c>
      <c r="D199" s="14">
        <f>D171</f>
        <v>0.007760416667</v>
      </c>
      <c r="E199" s="6" t="s">
        <v>338</v>
      </c>
      <c r="F199" s="14">
        <f t="shared" si="13"/>
        <v>0.01552083333</v>
      </c>
      <c r="J199" s="24"/>
    </row>
    <row r="200">
      <c r="A200" s="6" t="s">
        <v>411</v>
      </c>
      <c r="B200" s="38">
        <v>0.66</v>
      </c>
      <c r="C200" s="6" t="s">
        <v>410</v>
      </c>
      <c r="D200" s="6">
        <v>0.0</v>
      </c>
      <c r="E200" s="6" t="s">
        <v>410</v>
      </c>
      <c r="F200" s="24">
        <f t="shared" si="13"/>
        <v>0</v>
      </c>
      <c r="J200" s="24"/>
    </row>
    <row r="201">
      <c r="A201" s="6" t="s">
        <v>502</v>
      </c>
      <c r="B201" s="38">
        <v>1.0</v>
      </c>
      <c r="C201" s="6" t="s">
        <v>343</v>
      </c>
      <c r="D201" s="24">
        <f>'Full Inventory Cost'!E86</f>
        <v>2.72</v>
      </c>
      <c r="E201" s="6" t="s">
        <v>343</v>
      </c>
      <c r="F201" s="24">
        <f t="shared" si="13"/>
        <v>2.72</v>
      </c>
      <c r="J201" s="24"/>
    </row>
    <row r="202">
      <c r="B202" s="77"/>
      <c r="J202" s="24"/>
    </row>
    <row r="203">
      <c r="A203" s="84" t="s">
        <v>341</v>
      </c>
      <c r="B203" s="77"/>
      <c r="J203" s="24"/>
    </row>
    <row r="204">
      <c r="A204" s="6" t="s">
        <v>467</v>
      </c>
      <c r="B204" s="38">
        <f>B188</f>
        <v>16</v>
      </c>
      <c r="C204" s="6" t="s">
        <v>343</v>
      </c>
      <c r="D204" s="24">
        <f>D181</f>
        <v>0.03485</v>
      </c>
      <c r="E204" s="6" t="s">
        <v>343</v>
      </c>
      <c r="F204" s="24">
        <f>B204*D204</f>
        <v>0.5576</v>
      </c>
      <c r="J204" s="24"/>
    </row>
    <row r="205">
      <c r="B205" s="77"/>
      <c r="J205" s="24"/>
    </row>
    <row r="206">
      <c r="B206" s="77"/>
      <c r="E206" s="89" t="s">
        <v>347</v>
      </c>
      <c r="F206" s="90">
        <f>SUM(F191:F205)</f>
        <v>6.882874386</v>
      </c>
      <c r="G206" s="91" t="s">
        <v>348</v>
      </c>
      <c r="H206" s="91" t="s">
        <v>376</v>
      </c>
      <c r="I206" s="91" t="s">
        <v>350</v>
      </c>
      <c r="J206" s="143" t="s">
        <v>351</v>
      </c>
      <c r="K206" s="91" t="s">
        <v>352</v>
      </c>
    </row>
    <row r="207">
      <c r="B207" s="77"/>
      <c r="E207" s="92" t="s">
        <v>334</v>
      </c>
      <c r="F207" s="93">
        <f>F206/B188</f>
        <v>0.4301796491</v>
      </c>
      <c r="G207" s="24">
        <f>F207*5</f>
        <v>2.150898246</v>
      </c>
      <c r="H207" s="21">
        <v>4.0</v>
      </c>
      <c r="I207" s="95">
        <f>F207/H207</f>
        <v>0.1075449123</v>
      </c>
      <c r="J207" s="144">
        <v>4.5</v>
      </c>
      <c r="K207" s="96">
        <f>F207/J207</f>
        <v>0.09559547758</v>
      </c>
      <c r="L207" s="24">
        <f>J207-F207</f>
        <v>4.069820351</v>
      </c>
    </row>
    <row r="208">
      <c r="B208" s="77"/>
      <c r="J208" s="24"/>
    </row>
    <row r="209">
      <c r="B209" s="77"/>
      <c r="J209" s="24"/>
    </row>
    <row r="210">
      <c r="A210" s="78" t="s">
        <v>325</v>
      </c>
      <c r="B210" s="78" t="s">
        <v>503</v>
      </c>
      <c r="C210" s="136"/>
      <c r="J210" s="24"/>
    </row>
    <row r="211">
      <c r="A211" s="22" t="s">
        <v>329</v>
      </c>
      <c r="B211" s="22">
        <v>1.0</v>
      </c>
      <c r="J211" s="24"/>
    </row>
    <row r="212">
      <c r="B212" s="77"/>
      <c r="J212" s="24"/>
    </row>
    <row r="213">
      <c r="A213" s="81" t="s">
        <v>332</v>
      </c>
      <c r="B213" s="82" t="s">
        <v>333</v>
      </c>
      <c r="C213" s="83"/>
      <c r="D213" s="82" t="s">
        <v>334</v>
      </c>
      <c r="E213" s="83"/>
      <c r="F213" s="81" t="s">
        <v>335</v>
      </c>
      <c r="J213" s="24"/>
    </row>
    <row r="214">
      <c r="A214" s="84" t="s">
        <v>504</v>
      </c>
      <c r="B214" s="38"/>
      <c r="C214" s="6"/>
      <c r="E214" s="6"/>
      <c r="J214" s="24"/>
    </row>
    <row r="215">
      <c r="A215" s="6" t="s">
        <v>505</v>
      </c>
      <c r="B215" s="38">
        <v>0.5</v>
      </c>
      <c r="C215" s="6" t="s">
        <v>410</v>
      </c>
      <c r="D215" s="24">
        <f>'Full Inventory Cost'!L97</f>
        <v>0</v>
      </c>
      <c r="E215" s="6" t="s">
        <v>410</v>
      </c>
      <c r="F215" s="24">
        <f t="shared" ref="F215:F220" si="14">B215*D215</f>
        <v>0</v>
      </c>
      <c r="J215" s="24"/>
    </row>
    <row r="216">
      <c r="A216" s="6" t="s">
        <v>411</v>
      </c>
      <c r="B216" s="38">
        <v>8.0</v>
      </c>
      <c r="C216" s="6" t="s">
        <v>398</v>
      </c>
      <c r="D216" s="6">
        <v>0.0</v>
      </c>
      <c r="E216" s="6" t="s">
        <v>398</v>
      </c>
      <c r="F216" s="24">
        <f t="shared" si="14"/>
        <v>0</v>
      </c>
      <c r="J216" s="24"/>
    </row>
    <row r="217">
      <c r="A217" s="6" t="s">
        <v>506</v>
      </c>
      <c r="B217" s="38">
        <v>0.1</v>
      </c>
      <c r="C217" s="6" t="s">
        <v>340</v>
      </c>
      <c r="D217" s="24">
        <f>'Full Inventory Cost'!K113</f>
        <v>0.05723958333</v>
      </c>
      <c r="E217" s="6" t="s">
        <v>340</v>
      </c>
      <c r="F217" s="24">
        <f t="shared" si="14"/>
        <v>0.005723958333</v>
      </c>
      <c r="J217" s="24"/>
    </row>
    <row r="218">
      <c r="A218" s="148" t="s">
        <v>507</v>
      </c>
      <c r="B218" s="38">
        <v>0.5</v>
      </c>
      <c r="C218" s="6" t="s">
        <v>338</v>
      </c>
      <c r="D218" s="14">
        <f>'Full Inventory Cost'!N115</f>
        <v>0.1040625</v>
      </c>
      <c r="E218" s="6" t="s">
        <v>338</v>
      </c>
      <c r="F218" s="24">
        <f t="shared" si="14"/>
        <v>0.05203125</v>
      </c>
      <c r="J218" s="24"/>
    </row>
    <row r="219">
      <c r="A219" s="6" t="s">
        <v>508</v>
      </c>
      <c r="B219" s="6">
        <v>2.0</v>
      </c>
      <c r="C219" s="6" t="s">
        <v>398</v>
      </c>
      <c r="D219" s="14">
        <f>'Full Inventory Cost'!M110</f>
        <v>0.0953125</v>
      </c>
      <c r="E219" s="6" t="s">
        <v>398</v>
      </c>
      <c r="F219" s="24">
        <f t="shared" si="14"/>
        <v>0.190625</v>
      </c>
      <c r="J219" s="24"/>
    </row>
    <row r="220">
      <c r="A220" s="6" t="s">
        <v>509</v>
      </c>
      <c r="B220" s="6">
        <v>2.0</v>
      </c>
      <c r="C220" s="6" t="s">
        <v>340</v>
      </c>
      <c r="D220" s="14">
        <f>'Full Inventory Cost'!M28</f>
        <v>0</v>
      </c>
      <c r="E220" s="6" t="s">
        <v>340</v>
      </c>
      <c r="F220" s="24">
        <f t="shared" si="14"/>
        <v>0</v>
      </c>
      <c r="J220" s="24"/>
    </row>
    <row r="221">
      <c r="A221" s="77"/>
      <c r="B221" s="77"/>
      <c r="J221" s="24"/>
    </row>
    <row r="222">
      <c r="A222" s="84" t="s">
        <v>341</v>
      </c>
      <c r="B222" s="77"/>
      <c r="J222" s="24"/>
    </row>
    <row r="223">
      <c r="A223" s="6" t="s">
        <v>510</v>
      </c>
      <c r="B223" s="38">
        <v>1.0</v>
      </c>
      <c r="C223" s="6" t="s">
        <v>343</v>
      </c>
      <c r="D223" s="24">
        <f>'Full Inventory Cost'!K167</f>
        <v>0.2989</v>
      </c>
      <c r="E223" s="6" t="s">
        <v>343</v>
      </c>
      <c r="F223" s="24">
        <f t="shared" ref="F223:F226" si="15">B223*D223</f>
        <v>0.2989</v>
      </c>
      <c r="J223" s="24"/>
    </row>
    <row r="224">
      <c r="A224" s="6" t="s">
        <v>511</v>
      </c>
      <c r="B224" s="38">
        <v>2.0</v>
      </c>
      <c r="C224" s="6" t="s">
        <v>343</v>
      </c>
      <c r="D224" s="24">
        <f>'Full Inventory Cost'!K163</f>
        <v>0.01214</v>
      </c>
      <c r="E224" s="6" t="s">
        <v>343</v>
      </c>
      <c r="F224" s="24">
        <f t="shared" si="15"/>
        <v>0.02428</v>
      </c>
      <c r="J224" s="24"/>
    </row>
    <row r="225">
      <c r="A225" s="6" t="s">
        <v>512</v>
      </c>
      <c r="B225" s="38">
        <v>1.0</v>
      </c>
      <c r="C225" s="6" t="s">
        <v>343</v>
      </c>
      <c r="D225" s="24">
        <f>'Full Inventory Cost'!K170</f>
        <v>0.02149</v>
      </c>
      <c r="E225" s="6" t="s">
        <v>343</v>
      </c>
      <c r="F225" s="24">
        <f t="shared" si="15"/>
        <v>0.02149</v>
      </c>
      <c r="J225" s="24"/>
    </row>
    <row r="226">
      <c r="A226" s="6" t="s">
        <v>513</v>
      </c>
      <c r="B226" s="38">
        <v>1.0</v>
      </c>
      <c r="C226" s="6" t="s">
        <v>343</v>
      </c>
      <c r="D226" s="24">
        <f>'Full Inventory Cost'!K171</f>
        <v>0.02149</v>
      </c>
      <c r="E226" s="6" t="s">
        <v>343</v>
      </c>
      <c r="F226" s="24">
        <f t="shared" si="15"/>
        <v>0.02149</v>
      </c>
      <c r="J226" s="24"/>
    </row>
    <row r="227">
      <c r="J227" s="24"/>
    </row>
    <row r="228">
      <c r="B228" s="77"/>
      <c r="E228" s="89" t="s">
        <v>347</v>
      </c>
      <c r="F228" s="90">
        <f>SUM(F214:F224)</f>
        <v>0.5715602083</v>
      </c>
      <c r="G228" s="91" t="s">
        <v>348</v>
      </c>
      <c r="H228" s="91" t="s">
        <v>376</v>
      </c>
      <c r="I228" s="91" t="s">
        <v>350</v>
      </c>
      <c r="J228" s="143" t="s">
        <v>351</v>
      </c>
      <c r="K228" s="91" t="s">
        <v>352</v>
      </c>
    </row>
    <row r="229">
      <c r="B229" s="77"/>
      <c r="E229" s="92" t="s">
        <v>334</v>
      </c>
      <c r="F229" s="93">
        <f>F228/B211</f>
        <v>0.5715602083</v>
      </c>
      <c r="G229" s="24">
        <f>F229*5</f>
        <v>2.857801042</v>
      </c>
      <c r="H229" s="21">
        <v>7.0</v>
      </c>
      <c r="I229" s="95">
        <f>F229/H229</f>
        <v>0.08165145833</v>
      </c>
      <c r="J229" s="144">
        <v>7.5</v>
      </c>
      <c r="K229" s="96">
        <f>F229/J229</f>
        <v>0.07620802778</v>
      </c>
      <c r="L229" s="24">
        <f>J229-F229</f>
        <v>6.928439792</v>
      </c>
    </row>
    <row r="230">
      <c r="A230" s="78"/>
      <c r="B230" s="78"/>
      <c r="C230" s="136"/>
      <c r="J230" s="24"/>
    </row>
    <row r="231">
      <c r="A231" s="78"/>
      <c r="B231" s="78"/>
      <c r="C231" s="136"/>
      <c r="J231" s="24"/>
    </row>
    <row r="232">
      <c r="A232" s="78" t="s">
        <v>325</v>
      </c>
      <c r="B232" s="78" t="s">
        <v>514</v>
      </c>
      <c r="C232" s="136"/>
      <c r="J232" s="24"/>
    </row>
    <row r="233">
      <c r="A233" s="22" t="s">
        <v>329</v>
      </c>
      <c r="B233" s="22">
        <v>7.0</v>
      </c>
      <c r="J233" s="24"/>
    </row>
    <row r="234">
      <c r="B234" s="77"/>
      <c r="J234" s="24"/>
    </row>
    <row r="235">
      <c r="A235" s="81" t="s">
        <v>332</v>
      </c>
      <c r="B235" s="82" t="s">
        <v>333</v>
      </c>
      <c r="C235" s="83"/>
      <c r="D235" s="82" t="s">
        <v>334</v>
      </c>
      <c r="E235" s="83"/>
      <c r="F235" s="81" t="s">
        <v>335</v>
      </c>
      <c r="J235" s="24"/>
    </row>
    <row r="236">
      <c r="A236" s="84" t="s">
        <v>515</v>
      </c>
      <c r="B236" s="38"/>
      <c r="C236" s="6"/>
      <c r="E236" s="6"/>
      <c r="J236" s="24"/>
    </row>
    <row r="237">
      <c r="A237" s="6" t="s">
        <v>516</v>
      </c>
      <c r="B237" s="38">
        <v>1.0</v>
      </c>
      <c r="C237" s="6" t="s">
        <v>410</v>
      </c>
      <c r="D237" s="24">
        <f>'Full Inventory Cost'!E71</f>
        <v>8.3</v>
      </c>
      <c r="E237" s="6" t="s">
        <v>410</v>
      </c>
      <c r="F237" s="24">
        <f t="shared" ref="F237:F241" si="16">B237*D237</f>
        <v>8.3</v>
      </c>
      <c r="J237" s="24"/>
    </row>
    <row r="238">
      <c r="A238" s="6" t="s">
        <v>517</v>
      </c>
      <c r="B238" s="38">
        <v>1.0</v>
      </c>
      <c r="C238" s="6" t="s">
        <v>458</v>
      </c>
      <c r="D238" s="24">
        <f>'Full Inventory Cost'!E72</f>
        <v>2.68</v>
      </c>
      <c r="E238" s="6" t="s">
        <v>458</v>
      </c>
      <c r="F238" s="24">
        <f t="shared" si="16"/>
        <v>2.68</v>
      </c>
      <c r="J238" s="24"/>
    </row>
    <row r="239">
      <c r="A239" s="6" t="s">
        <v>411</v>
      </c>
      <c r="B239" s="38">
        <v>2.0</v>
      </c>
      <c r="C239" s="6" t="s">
        <v>458</v>
      </c>
      <c r="D239" s="21">
        <v>0.0</v>
      </c>
      <c r="E239" s="6" t="s">
        <v>458</v>
      </c>
      <c r="F239" s="24">
        <f t="shared" si="16"/>
        <v>0</v>
      </c>
      <c r="J239" s="24"/>
    </row>
    <row r="240">
      <c r="A240" s="6" t="s">
        <v>518</v>
      </c>
      <c r="B240" s="38">
        <v>0.1</v>
      </c>
      <c r="C240" s="6" t="s">
        <v>340</v>
      </c>
      <c r="D240" s="24">
        <f>D258</f>
        <v>1.656</v>
      </c>
      <c r="E240" s="6" t="s">
        <v>340</v>
      </c>
      <c r="F240" s="24">
        <f t="shared" si="16"/>
        <v>0.1656</v>
      </c>
      <c r="J240" s="24"/>
    </row>
    <row r="241">
      <c r="A241" s="6" t="s">
        <v>519</v>
      </c>
      <c r="B241" s="38">
        <v>1.0</v>
      </c>
      <c r="C241" s="6" t="s">
        <v>343</v>
      </c>
      <c r="D241" s="24">
        <f>F516</f>
        <v>0.03144791667</v>
      </c>
      <c r="E241" s="6" t="s">
        <v>343</v>
      </c>
      <c r="F241" s="24">
        <f t="shared" si="16"/>
        <v>0.03144791667</v>
      </c>
      <c r="J241" s="24"/>
    </row>
    <row r="242">
      <c r="A242" s="6"/>
      <c r="B242" s="77"/>
      <c r="J242" s="24"/>
    </row>
    <row r="243">
      <c r="A243" s="84" t="s">
        <v>341</v>
      </c>
      <c r="B243" s="77"/>
      <c r="J243" s="24"/>
    </row>
    <row r="244">
      <c r="A244" s="6" t="s">
        <v>520</v>
      </c>
      <c r="B244" s="38">
        <v>1.0</v>
      </c>
      <c r="C244" s="6" t="s">
        <v>343</v>
      </c>
      <c r="D244" s="24">
        <f>'Full Inventory Cost'!K166</f>
        <v>0.14796</v>
      </c>
      <c r="E244" s="6" t="s">
        <v>343</v>
      </c>
      <c r="F244" s="24">
        <f t="shared" ref="F244:F245" si="17">B244*D244</f>
        <v>0.14796</v>
      </c>
      <c r="J244" s="24"/>
    </row>
    <row r="245">
      <c r="A245" s="6" t="s">
        <v>521</v>
      </c>
      <c r="B245" s="38">
        <v>1.0</v>
      </c>
      <c r="C245" s="6" t="s">
        <v>343</v>
      </c>
      <c r="D245" s="6">
        <v>0.05</v>
      </c>
      <c r="E245" s="6" t="s">
        <v>343</v>
      </c>
      <c r="F245" s="24">
        <f t="shared" si="17"/>
        <v>0.05</v>
      </c>
      <c r="J245" s="24"/>
    </row>
    <row r="246">
      <c r="B246" s="38"/>
      <c r="E246" s="89" t="s">
        <v>347</v>
      </c>
      <c r="F246" s="90">
        <f>SUM(F236:F245)</f>
        <v>11.37500792</v>
      </c>
      <c r="G246" s="91" t="s">
        <v>348</v>
      </c>
      <c r="H246" s="91" t="s">
        <v>376</v>
      </c>
      <c r="I246" s="91" t="s">
        <v>350</v>
      </c>
      <c r="J246" s="143" t="s">
        <v>351</v>
      </c>
      <c r="K246" s="91" t="s">
        <v>352</v>
      </c>
    </row>
    <row r="247">
      <c r="B247" s="77"/>
      <c r="E247" s="92" t="s">
        <v>334</v>
      </c>
      <c r="F247" s="93">
        <f>F246/B233</f>
        <v>1.625001131</v>
      </c>
      <c r="G247" s="24">
        <f>F247*5</f>
        <v>8.125005655</v>
      </c>
      <c r="H247" s="21">
        <v>7.0</v>
      </c>
      <c r="I247" s="95">
        <f>F247/H247</f>
        <v>0.2321430187</v>
      </c>
      <c r="J247" s="144">
        <v>7.5</v>
      </c>
      <c r="K247" s="96">
        <f>F247/J247</f>
        <v>0.2166668175</v>
      </c>
      <c r="L247" s="24">
        <f>J247-F247</f>
        <v>5.874998869</v>
      </c>
    </row>
    <row r="248">
      <c r="B248" s="77"/>
      <c r="J248" s="24"/>
    </row>
    <row r="249">
      <c r="B249" s="77"/>
      <c r="J249" s="24"/>
    </row>
    <row r="250">
      <c r="A250" s="78" t="s">
        <v>325</v>
      </c>
      <c r="B250" s="78" t="s">
        <v>522</v>
      </c>
      <c r="C250" s="136"/>
      <c r="J250" s="24"/>
    </row>
    <row r="251">
      <c r="A251" s="22" t="s">
        <v>329</v>
      </c>
      <c r="B251" s="22">
        <v>5.0</v>
      </c>
      <c r="J251" s="24"/>
    </row>
    <row r="252">
      <c r="B252" s="77"/>
      <c r="J252" s="24"/>
    </row>
    <row r="253">
      <c r="A253" s="81" t="s">
        <v>332</v>
      </c>
      <c r="B253" s="82" t="s">
        <v>333</v>
      </c>
      <c r="C253" s="83"/>
      <c r="D253" s="82" t="s">
        <v>334</v>
      </c>
      <c r="E253" s="83"/>
      <c r="F253" s="81" t="s">
        <v>335</v>
      </c>
      <c r="J253" s="24"/>
    </row>
    <row r="254">
      <c r="A254" s="84" t="s">
        <v>515</v>
      </c>
      <c r="J254" s="24"/>
    </row>
    <row r="255">
      <c r="A255" s="6" t="s">
        <v>516</v>
      </c>
      <c r="B255" s="38">
        <v>1.0</v>
      </c>
      <c r="C255" s="6" t="s">
        <v>410</v>
      </c>
      <c r="D255" s="24">
        <f>'Full Inventory Cost'!E71</f>
        <v>8.3</v>
      </c>
      <c r="E255" s="6" t="s">
        <v>410</v>
      </c>
      <c r="F255" s="24">
        <f t="shared" ref="F255:F259" si="18">B255*D255</f>
        <v>8.3</v>
      </c>
      <c r="J255" s="24"/>
    </row>
    <row r="256">
      <c r="A256" s="6" t="s">
        <v>517</v>
      </c>
      <c r="B256" s="38">
        <v>1.0</v>
      </c>
      <c r="C256" s="6" t="s">
        <v>458</v>
      </c>
      <c r="D256" s="24">
        <f>'Full Inventory Cost'!E72</f>
        <v>2.68</v>
      </c>
      <c r="E256" s="6" t="s">
        <v>458</v>
      </c>
      <c r="F256" s="24">
        <f t="shared" si="18"/>
        <v>2.68</v>
      </c>
      <c r="J256" s="24"/>
    </row>
    <row r="257">
      <c r="A257" s="6" t="s">
        <v>411</v>
      </c>
      <c r="B257" s="38">
        <v>2.0</v>
      </c>
      <c r="C257" s="6" t="s">
        <v>458</v>
      </c>
      <c r="D257" s="21">
        <v>0.0</v>
      </c>
      <c r="E257" s="6" t="s">
        <v>458</v>
      </c>
      <c r="F257" s="24">
        <f t="shared" si="18"/>
        <v>0</v>
      </c>
      <c r="J257" s="24"/>
    </row>
    <row r="258">
      <c r="A258" s="6" t="s">
        <v>518</v>
      </c>
      <c r="B258" s="38">
        <v>0.1</v>
      </c>
      <c r="C258" s="6" t="s">
        <v>340</v>
      </c>
      <c r="D258" s="24">
        <f>'Full Inventory Cost'!K123</f>
        <v>1.656</v>
      </c>
      <c r="E258" s="6" t="s">
        <v>340</v>
      </c>
      <c r="F258" s="24">
        <f t="shared" si="18"/>
        <v>0.1656</v>
      </c>
      <c r="J258" s="24"/>
    </row>
    <row r="259">
      <c r="A259" s="6" t="s">
        <v>519</v>
      </c>
      <c r="B259" s="38">
        <v>1.0</v>
      </c>
      <c r="C259" s="6" t="s">
        <v>343</v>
      </c>
      <c r="D259" s="24">
        <f>F516</f>
        <v>0.03144791667</v>
      </c>
      <c r="E259" s="6" t="s">
        <v>343</v>
      </c>
      <c r="F259" s="24">
        <f t="shared" si="18"/>
        <v>0.03144791667</v>
      </c>
      <c r="J259" s="24"/>
    </row>
    <row r="260">
      <c r="A260" s="84" t="s">
        <v>341</v>
      </c>
      <c r="J260" s="24"/>
    </row>
    <row r="261">
      <c r="A261" s="6" t="s">
        <v>523</v>
      </c>
      <c r="B261" s="38">
        <v>1.0</v>
      </c>
      <c r="C261" s="6" t="s">
        <v>343</v>
      </c>
      <c r="D261" s="24">
        <f>'Full Inventory Cost'!K165</f>
        <v>0.15796</v>
      </c>
      <c r="E261" s="6" t="s">
        <v>343</v>
      </c>
      <c r="F261" s="24">
        <f t="shared" ref="F261:F262" si="19">B261*D261</f>
        <v>0.15796</v>
      </c>
      <c r="J261" s="24"/>
    </row>
    <row r="262">
      <c r="A262" s="6" t="s">
        <v>521</v>
      </c>
      <c r="B262" s="38">
        <v>1.0</v>
      </c>
      <c r="C262" s="6" t="s">
        <v>343</v>
      </c>
      <c r="D262" s="6">
        <v>0.05</v>
      </c>
      <c r="E262" s="6" t="s">
        <v>343</v>
      </c>
      <c r="F262" s="24">
        <f t="shared" si="19"/>
        <v>0.05</v>
      </c>
      <c r="J262" s="24"/>
    </row>
    <row r="263">
      <c r="B263" s="77"/>
      <c r="G263" s="149"/>
      <c r="H263" s="149"/>
      <c r="I263" s="149"/>
      <c r="J263" s="150"/>
      <c r="K263" s="149"/>
    </row>
    <row r="264">
      <c r="B264" s="77"/>
      <c r="E264" s="89" t="s">
        <v>347</v>
      </c>
      <c r="F264" s="90">
        <f>SUM(F254:F262)</f>
        <v>11.38500792</v>
      </c>
      <c r="G264" s="91" t="s">
        <v>348</v>
      </c>
      <c r="H264" s="91" t="s">
        <v>376</v>
      </c>
      <c r="I264" s="91" t="s">
        <v>350</v>
      </c>
      <c r="J264" s="143" t="s">
        <v>351</v>
      </c>
      <c r="K264" s="91" t="s">
        <v>352</v>
      </c>
    </row>
    <row r="265">
      <c r="B265" s="77"/>
      <c r="E265" s="92" t="s">
        <v>334</v>
      </c>
      <c r="F265" s="93">
        <f>F264/B251</f>
        <v>2.277001583</v>
      </c>
      <c r="G265" s="24">
        <f>F265*5</f>
        <v>11.38500792</v>
      </c>
      <c r="H265" s="21">
        <v>9.0</v>
      </c>
      <c r="I265" s="95">
        <f>F265/H265</f>
        <v>0.2530001759</v>
      </c>
      <c r="J265" s="146">
        <v>9.5</v>
      </c>
      <c r="K265" s="147">
        <f>F265/J265</f>
        <v>0.2396843772</v>
      </c>
      <c r="L265" s="24">
        <f>J265-F265</f>
        <v>7.222998417</v>
      </c>
    </row>
    <row r="266">
      <c r="B266" s="77"/>
      <c r="J266" s="24"/>
    </row>
    <row r="267">
      <c r="B267" s="77"/>
      <c r="J267" s="24"/>
    </row>
    <row r="268">
      <c r="A268" s="78" t="s">
        <v>325</v>
      </c>
      <c r="B268" s="78" t="s">
        <v>524</v>
      </c>
      <c r="C268" s="136"/>
      <c r="J268" s="24"/>
    </row>
    <row r="269">
      <c r="A269" s="22" t="s">
        <v>329</v>
      </c>
      <c r="B269" s="22">
        <v>1.0</v>
      </c>
      <c r="C269" s="6">
        <v>33.0</v>
      </c>
      <c r="D269" s="6" t="s">
        <v>340</v>
      </c>
      <c r="E269" s="6">
        <v>66.0</v>
      </c>
      <c r="F269" s="6" t="s">
        <v>525</v>
      </c>
      <c r="J269" s="24"/>
    </row>
    <row r="270">
      <c r="B270" s="77"/>
      <c r="J270" s="24"/>
    </row>
    <row r="271">
      <c r="A271" s="81" t="s">
        <v>332</v>
      </c>
      <c r="B271" s="82" t="s">
        <v>333</v>
      </c>
      <c r="C271" s="83"/>
      <c r="D271" s="82" t="s">
        <v>334</v>
      </c>
      <c r="E271" s="83"/>
      <c r="F271" s="81" t="s">
        <v>335</v>
      </c>
      <c r="J271" s="24"/>
    </row>
    <row r="272">
      <c r="A272" s="84" t="s">
        <v>526</v>
      </c>
      <c r="J272" s="24"/>
    </row>
    <row r="273">
      <c r="A273" s="6" t="s">
        <v>527</v>
      </c>
      <c r="B273" s="38">
        <v>13.0</v>
      </c>
      <c r="C273" s="6" t="s">
        <v>340</v>
      </c>
      <c r="D273" s="24">
        <f>'Full Inventory Cost'!K84</f>
        <v>0</v>
      </c>
      <c r="E273" s="6" t="s">
        <v>340</v>
      </c>
      <c r="F273" s="24">
        <f t="shared" ref="F273:F274" si="20">B273*D273</f>
        <v>0</v>
      </c>
      <c r="J273" s="24"/>
    </row>
    <row r="274">
      <c r="A274" s="6" t="s">
        <v>528</v>
      </c>
      <c r="B274" s="38">
        <v>30.0</v>
      </c>
      <c r="C274" s="6" t="s">
        <v>340</v>
      </c>
      <c r="D274" s="24">
        <f>'Full Inventory Cost'!K85</f>
        <v>0.1493333333</v>
      </c>
      <c r="E274" s="6" t="s">
        <v>340</v>
      </c>
      <c r="F274" s="24">
        <f t="shared" si="20"/>
        <v>4.48</v>
      </c>
      <c r="J274" s="24"/>
    </row>
    <row r="275">
      <c r="B275" s="77"/>
      <c r="G275" s="149"/>
      <c r="H275" s="149"/>
      <c r="I275" s="149"/>
      <c r="J275" s="150"/>
      <c r="K275" s="149"/>
    </row>
    <row r="276">
      <c r="B276" s="77"/>
      <c r="E276" s="89" t="s">
        <v>347</v>
      </c>
      <c r="F276" s="90">
        <f>SUM(F272:F274)</f>
        <v>4.48</v>
      </c>
      <c r="G276" s="149"/>
      <c r="H276" s="149"/>
      <c r="I276" s="149"/>
      <c r="J276" s="150"/>
      <c r="K276" s="149"/>
    </row>
    <row r="277">
      <c r="B277" s="77"/>
      <c r="E277" s="92" t="s">
        <v>529</v>
      </c>
      <c r="F277" s="93">
        <f>F276/E269</f>
        <v>0.06787878788</v>
      </c>
      <c r="G277" s="24"/>
      <c r="H277" s="21"/>
      <c r="I277" s="95"/>
      <c r="J277" s="24"/>
      <c r="K277" s="20"/>
    </row>
    <row r="278">
      <c r="B278" s="77"/>
      <c r="J278" s="24"/>
    </row>
    <row r="279">
      <c r="B279" s="77"/>
      <c r="J279" s="24"/>
    </row>
    <row r="280">
      <c r="A280" s="78" t="s">
        <v>325</v>
      </c>
      <c r="B280" s="78" t="s">
        <v>530</v>
      </c>
      <c r="C280" s="136"/>
      <c r="J280" s="24"/>
    </row>
    <row r="281">
      <c r="A281" s="22" t="s">
        <v>329</v>
      </c>
      <c r="B281" s="22">
        <v>1.0</v>
      </c>
      <c r="J281" s="24"/>
    </row>
    <row r="282">
      <c r="B282" s="77"/>
      <c r="J282" s="24"/>
    </row>
    <row r="283">
      <c r="A283" s="81" t="s">
        <v>332</v>
      </c>
      <c r="B283" s="82" t="s">
        <v>333</v>
      </c>
      <c r="C283" s="83"/>
      <c r="D283" s="82" t="s">
        <v>334</v>
      </c>
      <c r="E283" s="83"/>
      <c r="F283" s="81" t="s">
        <v>335</v>
      </c>
      <c r="J283" s="24"/>
    </row>
    <row r="284">
      <c r="A284" s="84" t="s">
        <v>336</v>
      </c>
      <c r="J284" s="24"/>
    </row>
    <row r="285">
      <c r="A285" s="6" t="s">
        <v>531</v>
      </c>
      <c r="B285" s="38">
        <v>2.0</v>
      </c>
      <c r="C285" s="6" t="s">
        <v>343</v>
      </c>
      <c r="D285" s="24">
        <f>'Full Inventory Cost'!K73</f>
        <v>0.3316666667</v>
      </c>
      <c r="E285" s="6" t="s">
        <v>343</v>
      </c>
      <c r="F285" s="24">
        <f t="shared" ref="F285:F288" si="21">B285*D285</f>
        <v>0.6633333333</v>
      </c>
      <c r="J285" s="24"/>
    </row>
    <row r="286">
      <c r="A286" s="6" t="s">
        <v>532</v>
      </c>
      <c r="B286" s="38">
        <v>1.0</v>
      </c>
      <c r="C286" s="6" t="s">
        <v>343</v>
      </c>
      <c r="D286" s="24">
        <f>'Full Inventory Cost'!K76</f>
        <v>0.179</v>
      </c>
      <c r="E286" s="6" t="s">
        <v>343</v>
      </c>
      <c r="F286" s="24">
        <f t="shared" si="21"/>
        <v>0.179</v>
      </c>
      <c r="J286" s="21"/>
    </row>
    <row r="287">
      <c r="A287" s="6" t="s">
        <v>533</v>
      </c>
      <c r="B287" s="38">
        <v>3.0</v>
      </c>
      <c r="C287" s="6" t="s">
        <v>343</v>
      </c>
      <c r="D287" s="24">
        <f>'Full Inventory Cost'!K79</f>
        <v>0.2378571429</v>
      </c>
      <c r="E287" s="6" t="s">
        <v>343</v>
      </c>
      <c r="F287" s="24">
        <f t="shared" si="21"/>
        <v>0.7135714286</v>
      </c>
      <c r="J287" s="24"/>
    </row>
    <row r="288">
      <c r="A288" s="6" t="s">
        <v>534</v>
      </c>
      <c r="B288" s="38">
        <v>0.1</v>
      </c>
      <c r="C288" s="6" t="s">
        <v>340</v>
      </c>
      <c r="D288" s="24">
        <f>D217</f>
        <v>0.05723958333</v>
      </c>
      <c r="E288" s="6" t="s">
        <v>340</v>
      </c>
      <c r="F288" s="24">
        <f t="shared" si="21"/>
        <v>0.005723958333</v>
      </c>
      <c r="J288" s="24"/>
    </row>
    <row r="289">
      <c r="A289" s="77"/>
      <c r="B289" s="77"/>
      <c r="J289" s="24"/>
    </row>
    <row r="290">
      <c r="A290" s="151" t="s">
        <v>526</v>
      </c>
      <c r="J290" s="24"/>
    </row>
    <row r="291">
      <c r="A291" s="22" t="s">
        <v>535</v>
      </c>
      <c r="B291" s="38">
        <v>2.0</v>
      </c>
      <c r="C291" s="6" t="s">
        <v>340</v>
      </c>
      <c r="D291" s="24">
        <f>'Full Inventory Cost'!K82</f>
        <v>0.1104166667</v>
      </c>
      <c r="E291" s="6" t="s">
        <v>340</v>
      </c>
      <c r="F291" s="24">
        <f t="shared" ref="F291:F292" si="22">B291*D291</f>
        <v>0.2208333333</v>
      </c>
      <c r="J291" s="24"/>
    </row>
    <row r="292">
      <c r="A292" s="6" t="s">
        <v>524</v>
      </c>
      <c r="B292" s="38">
        <v>2.0</v>
      </c>
      <c r="C292" s="6" t="s">
        <v>372</v>
      </c>
      <c r="D292" s="24">
        <f>F277</f>
        <v>0.06787878788</v>
      </c>
      <c r="E292" s="6" t="s">
        <v>536</v>
      </c>
      <c r="F292" s="24">
        <f t="shared" si="22"/>
        <v>0.1357575758</v>
      </c>
      <c r="J292" s="24"/>
    </row>
    <row r="293">
      <c r="A293" s="77"/>
      <c r="B293" s="77"/>
      <c r="J293" s="24"/>
    </row>
    <row r="294">
      <c r="A294" s="84" t="s">
        <v>341</v>
      </c>
      <c r="J294" s="24"/>
    </row>
    <row r="295">
      <c r="A295" s="6" t="s">
        <v>467</v>
      </c>
      <c r="B295" s="38">
        <v>1.0</v>
      </c>
      <c r="C295" s="6" t="s">
        <v>343</v>
      </c>
      <c r="D295" s="24">
        <f>'Full Inventory Cost'!K161</f>
        <v>0.03485</v>
      </c>
      <c r="E295" s="6" t="s">
        <v>343</v>
      </c>
      <c r="F295" s="24">
        <f t="shared" ref="F295:F298" si="23">B295*D295</f>
        <v>0.03485</v>
      </c>
      <c r="J295" s="24"/>
    </row>
    <row r="296">
      <c r="A296" s="6" t="s">
        <v>537</v>
      </c>
      <c r="B296" s="38">
        <v>1.0</v>
      </c>
      <c r="C296" s="6" t="s">
        <v>343</v>
      </c>
      <c r="D296" s="24">
        <f>'Full Inventory Cost'!K159</f>
        <v>0.04097</v>
      </c>
      <c r="E296" s="6" t="s">
        <v>343</v>
      </c>
      <c r="F296" s="24">
        <f t="shared" si="23"/>
        <v>0.04097</v>
      </c>
      <c r="J296" s="24"/>
    </row>
    <row r="297">
      <c r="A297" s="6" t="s">
        <v>538</v>
      </c>
      <c r="B297" s="38">
        <v>1.0</v>
      </c>
      <c r="C297" s="6" t="s">
        <v>343</v>
      </c>
      <c r="D297" s="24">
        <f>'Full Inventory Cost'!K163</f>
        <v>0.01214</v>
      </c>
      <c r="E297" s="6" t="s">
        <v>343</v>
      </c>
      <c r="F297" s="24">
        <f t="shared" si="23"/>
        <v>0.01214</v>
      </c>
      <c r="J297" s="24"/>
    </row>
    <row r="298">
      <c r="A298" s="6" t="s">
        <v>539</v>
      </c>
      <c r="B298" s="38">
        <v>2.0</v>
      </c>
      <c r="C298" s="6" t="s">
        <v>343</v>
      </c>
      <c r="D298" s="24">
        <f>'Full Inventory Cost'!K157</f>
        <v>0.00727</v>
      </c>
      <c r="E298" s="6" t="s">
        <v>343</v>
      </c>
      <c r="F298" s="24">
        <f t="shared" si="23"/>
        <v>0.01454</v>
      </c>
      <c r="J298" s="24"/>
    </row>
    <row r="299">
      <c r="B299" s="77"/>
      <c r="J299" s="24"/>
    </row>
    <row r="300">
      <c r="B300" s="77"/>
      <c r="E300" s="89" t="s">
        <v>347</v>
      </c>
      <c r="F300" s="90">
        <f>SUM(F284:F297)</f>
        <v>2.006179629</v>
      </c>
      <c r="G300" s="91" t="s">
        <v>348</v>
      </c>
      <c r="H300" s="91" t="s">
        <v>376</v>
      </c>
      <c r="I300" s="91" t="s">
        <v>350</v>
      </c>
      <c r="J300" s="143" t="s">
        <v>351</v>
      </c>
      <c r="K300" s="91" t="s">
        <v>352</v>
      </c>
      <c r="L300" s="6" t="s">
        <v>540</v>
      </c>
    </row>
    <row r="301">
      <c r="B301" s="77"/>
      <c r="E301" s="92" t="s">
        <v>334</v>
      </c>
      <c r="F301" s="93">
        <f>F300/B281</f>
        <v>2.006179629</v>
      </c>
      <c r="G301" s="24">
        <f>F301*5</f>
        <v>10.03089815</v>
      </c>
      <c r="H301" s="21">
        <v>8.0</v>
      </c>
      <c r="I301" s="95">
        <f>F301/H301</f>
        <v>0.2507724537</v>
      </c>
      <c r="J301" s="146">
        <v>9.5</v>
      </c>
      <c r="K301" s="147">
        <f>F301/J301</f>
        <v>0.2111768031</v>
      </c>
      <c r="L301" s="24">
        <f>J301-F301</f>
        <v>7.493820371</v>
      </c>
    </row>
    <row r="302">
      <c r="B302" s="77"/>
      <c r="J302" s="24"/>
    </row>
    <row r="303">
      <c r="B303" s="77"/>
      <c r="J303" s="24"/>
    </row>
    <row r="304">
      <c r="A304" s="78" t="s">
        <v>325</v>
      </c>
      <c r="B304" s="78" t="s">
        <v>541</v>
      </c>
      <c r="C304" s="136"/>
      <c r="J304" s="24"/>
    </row>
    <row r="305">
      <c r="A305" s="22" t="s">
        <v>329</v>
      </c>
      <c r="B305" s="22">
        <v>1.0</v>
      </c>
      <c r="J305" s="24"/>
    </row>
    <row r="306">
      <c r="B306" s="77"/>
      <c r="J306" s="24"/>
    </row>
    <row r="307">
      <c r="A307" s="81" t="s">
        <v>332</v>
      </c>
      <c r="B307" s="82" t="s">
        <v>333</v>
      </c>
      <c r="C307" s="83"/>
      <c r="D307" s="82" t="s">
        <v>334</v>
      </c>
      <c r="E307" s="83"/>
      <c r="F307" s="81" t="s">
        <v>335</v>
      </c>
      <c r="J307" s="24"/>
    </row>
    <row r="308">
      <c r="A308" s="84" t="s">
        <v>336</v>
      </c>
      <c r="J308" s="24"/>
    </row>
    <row r="309">
      <c r="A309" s="6" t="s">
        <v>531</v>
      </c>
      <c r="B309" s="38">
        <v>2.0</v>
      </c>
      <c r="C309" s="6" t="s">
        <v>343</v>
      </c>
      <c r="D309" s="24">
        <f t="shared" ref="D309:D310" si="24">D285</f>
        <v>0.3316666667</v>
      </c>
      <c r="E309" s="6" t="s">
        <v>343</v>
      </c>
      <c r="F309" s="24">
        <f t="shared" ref="F309:F312" si="25">B309*D309</f>
        <v>0.6633333333</v>
      </c>
      <c r="J309" s="24"/>
    </row>
    <row r="310">
      <c r="A310" s="6" t="s">
        <v>532</v>
      </c>
      <c r="B310" s="38">
        <v>1.0</v>
      </c>
      <c r="C310" s="6" t="s">
        <v>343</v>
      </c>
      <c r="D310" s="24">
        <f t="shared" si="24"/>
        <v>0.179</v>
      </c>
      <c r="E310" s="6" t="s">
        <v>343</v>
      </c>
      <c r="F310" s="24">
        <f t="shared" si="25"/>
        <v>0.179</v>
      </c>
      <c r="J310" s="24"/>
    </row>
    <row r="311">
      <c r="A311" s="6" t="s">
        <v>542</v>
      </c>
      <c r="B311" s="38">
        <v>3.0</v>
      </c>
      <c r="C311" s="6" t="s">
        <v>340</v>
      </c>
      <c r="D311" s="24">
        <f>'Full Inventory Cost'!K80</f>
        <v>1</v>
      </c>
      <c r="E311" s="6" t="s">
        <v>343</v>
      </c>
      <c r="F311" s="24">
        <f t="shared" si="25"/>
        <v>3</v>
      </c>
      <c r="J311" s="24"/>
    </row>
    <row r="312">
      <c r="A312" s="6" t="s">
        <v>534</v>
      </c>
      <c r="B312" s="38">
        <v>0.1</v>
      </c>
      <c r="C312" s="6" t="s">
        <v>340</v>
      </c>
      <c r="D312" s="24">
        <f>D288</f>
        <v>0.05723958333</v>
      </c>
      <c r="E312" s="6" t="s">
        <v>340</v>
      </c>
      <c r="F312" s="24">
        <f t="shared" si="25"/>
        <v>0.005723958333</v>
      </c>
      <c r="J312" s="24"/>
    </row>
    <row r="313">
      <c r="A313" s="77"/>
      <c r="B313" s="77"/>
      <c r="J313" s="24"/>
    </row>
    <row r="314">
      <c r="A314" s="151" t="s">
        <v>526</v>
      </c>
      <c r="J314" s="24"/>
    </row>
    <row r="315">
      <c r="A315" s="22" t="s">
        <v>535</v>
      </c>
      <c r="B315" s="38">
        <v>2.0</v>
      </c>
      <c r="C315" s="6" t="s">
        <v>340</v>
      </c>
      <c r="D315" s="24">
        <f t="shared" ref="D315:D316" si="26">D291</f>
        <v>0.1104166667</v>
      </c>
      <c r="E315" s="6" t="s">
        <v>340</v>
      </c>
      <c r="F315" s="24">
        <f t="shared" ref="F315:F316" si="27">B315*D315</f>
        <v>0.2208333333</v>
      </c>
      <c r="J315" s="24"/>
    </row>
    <row r="316">
      <c r="A316" s="6" t="s">
        <v>524</v>
      </c>
      <c r="B316" s="38">
        <v>2.0</v>
      </c>
      <c r="C316" s="6" t="s">
        <v>372</v>
      </c>
      <c r="D316" s="24">
        <f t="shared" si="26"/>
        <v>0.06787878788</v>
      </c>
      <c r="E316" s="6" t="s">
        <v>536</v>
      </c>
      <c r="F316" s="24">
        <f t="shared" si="27"/>
        <v>0.1357575758</v>
      </c>
      <c r="J316" s="24"/>
    </row>
    <row r="317">
      <c r="A317" s="77"/>
      <c r="B317" s="77"/>
      <c r="J317" s="24"/>
    </row>
    <row r="318">
      <c r="A318" s="84" t="s">
        <v>341</v>
      </c>
      <c r="J318" s="24"/>
    </row>
    <row r="319">
      <c r="A319" s="6" t="s">
        <v>467</v>
      </c>
      <c r="B319" s="38">
        <v>1.0</v>
      </c>
      <c r="C319" s="6" t="s">
        <v>343</v>
      </c>
      <c r="D319" s="24">
        <f t="shared" ref="D319:D322" si="28">D295</f>
        <v>0.03485</v>
      </c>
      <c r="E319" s="6" t="s">
        <v>343</v>
      </c>
      <c r="F319" s="24">
        <f t="shared" ref="F319:F322" si="29">B319*D319</f>
        <v>0.03485</v>
      </c>
      <c r="J319" s="24"/>
    </row>
    <row r="320">
      <c r="A320" s="6" t="s">
        <v>537</v>
      </c>
      <c r="B320" s="38">
        <v>1.0</v>
      </c>
      <c r="C320" s="6" t="s">
        <v>343</v>
      </c>
      <c r="D320" s="24">
        <f t="shared" si="28"/>
        <v>0.04097</v>
      </c>
      <c r="E320" s="6" t="s">
        <v>343</v>
      </c>
      <c r="F320" s="24">
        <f t="shared" si="29"/>
        <v>0.04097</v>
      </c>
      <c r="J320" s="24"/>
    </row>
    <row r="321">
      <c r="A321" s="6" t="s">
        <v>538</v>
      </c>
      <c r="B321" s="38">
        <v>1.0</v>
      </c>
      <c r="C321" s="6" t="s">
        <v>343</v>
      </c>
      <c r="D321" s="24">
        <f t="shared" si="28"/>
        <v>0.01214</v>
      </c>
      <c r="E321" s="6" t="s">
        <v>343</v>
      </c>
      <c r="F321" s="24">
        <f t="shared" si="29"/>
        <v>0.01214</v>
      </c>
      <c r="J321" s="24"/>
    </row>
    <row r="322">
      <c r="A322" s="6" t="s">
        <v>539</v>
      </c>
      <c r="B322" s="38">
        <v>2.0</v>
      </c>
      <c r="C322" s="6" t="s">
        <v>343</v>
      </c>
      <c r="D322" s="24">
        <f t="shared" si="28"/>
        <v>0.00727</v>
      </c>
      <c r="E322" s="6" t="s">
        <v>343</v>
      </c>
      <c r="F322" s="24">
        <f t="shared" si="29"/>
        <v>0.01454</v>
      </c>
      <c r="J322" s="24"/>
    </row>
    <row r="323">
      <c r="B323" s="77"/>
      <c r="J323" s="24"/>
    </row>
    <row r="324">
      <c r="B324" s="77"/>
      <c r="E324" s="89" t="s">
        <v>347</v>
      </c>
      <c r="F324" s="90">
        <f>SUM(F308:F321)</f>
        <v>4.292608201</v>
      </c>
      <c r="G324" s="91" t="s">
        <v>348</v>
      </c>
      <c r="H324" s="91" t="s">
        <v>376</v>
      </c>
      <c r="I324" s="91" t="s">
        <v>350</v>
      </c>
      <c r="J324" s="143" t="s">
        <v>351</v>
      </c>
      <c r="K324" s="91" t="s">
        <v>352</v>
      </c>
    </row>
    <row r="325">
      <c r="B325" s="77"/>
      <c r="E325" s="92" t="s">
        <v>334</v>
      </c>
      <c r="F325" s="93">
        <f>F324/B305</f>
        <v>4.292608201</v>
      </c>
      <c r="G325" s="24">
        <f>F325*5</f>
        <v>21.463041</v>
      </c>
      <c r="H325" s="21">
        <v>8.0</v>
      </c>
      <c r="I325" s="95">
        <f>F325/H325</f>
        <v>0.5365760251</v>
      </c>
      <c r="J325" s="144">
        <v>9.0</v>
      </c>
      <c r="K325" s="96">
        <f>F325/J325</f>
        <v>0.4769564668</v>
      </c>
      <c r="L325" s="24">
        <f>J325-F325</f>
        <v>4.707391799</v>
      </c>
    </row>
    <row r="326">
      <c r="B326" s="77"/>
      <c r="J326" s="24"/>
    </row>
    <row r="327">
      <c r="B327" s="77"/>
      <c r="J327" s="24"/>
    </row>
    <row r="328">
      <c r="A328" s="78" t="s">
        <v>325</v>
      </c>
      <c r="B328" s="78" t="s">
        <v>543</v>
      </c>
      <c r="C328" s="136"/>
      <c r="J328" s="24"/>
    </row>
    <row r="329">
      <c r="A329" s="22" t="s">
        <v>329</v>
      </c>
      <c r="B329" s="22">
        <v>1.0</v>
      </c>
      <c r="J329" s="24"/>
    </row>
    <row r="330">
      <c r="B330" s="77"/>
      <c r="J330" s="24"/>
    </row>
    <row r="331">
      <c r="A331" s="81" t="s">
        <v>332</v>
      </c>
      <c r="B331" s="82" t="s">
        <v>333</v>
      </c>
      <c r="C331" s="83"/>
      <c r="D331" s="82" t="s">
        <v>334</v>
      </c>
      <c r="E331" s="83"/>
      <c r="F331" s="81" t="s">
        <v>335</v>
      </c>
      <c r="J331" s="24"/>
    </row>
    <row r="332">
      <c r="A332" s="84" t="s">
        <v>336</v>
      </c>
      <c r="J332" s="24"/>
    </row>
    <row r="333">
      <c r="A333" s="6" t="s">
        <v>531</v>
      </c>
      <c r="B333" s="38">
        <v>2.0</v>
      </c>
      <c r="C333" s="6" t="s">
        <v>343</v>
      </c>
      <c r="D333" s="24">
        <f t="shared" ref="D333:D334" si="30">D309</f>
        <v>0.3316666667</v>
      </c>
      <c r="E333" s="6" t="s">
        <v>343</v>
      </c>
      <c r="F333" s="24">
        <f t="shared" ref="F333:F336" si="31">B333*D333</f>
        <v>0.6633333333</v>
      </c>
      <c r="J333" s="24"/>
    </row>
    <row r="334">
      <c r="A334" s="6" t="s">
        <v>532</v>
      </c>
      <c r="B334" s="38">
        <v>2.0</v>
      </c>
      <c r="C334" s="6" t="s">
        <v>343</v>
      </c>
      <c r="D334" s="24">
        <f t="shared" si="30"/>
        <v>0.179</v>
      </c>
      <c r="E334" s="6" t="s">
        <v>343</v>
      </c>
      <c r="F334" s="24">
        <f t="shared" si="31"/>
        <v>0.358</v>
      </c>
      <c r="J334" s="24"/>
    </row>
    <row r="335">
      <c r="A335" s="6" t="s">
        <v>544</v>
      </c>
      <c r="B335" s="38">
        <v>1.0</v>
      </c>
      <c r="C335" s="6" t="s">
        <v>340</v>
      </c>
      <c r="D335" s="24">
        <f>'Full Inventory Cost'!K105</f>
        <v>0.3233333333</v>
      </c>
      <c r="E335" s="6" t="s">
        <v>340</v>
      </c>
      <c r="F335" s="24">
        <f t="shared" si="31"/>
        <v>0.3233333333</v>
      </c>
      <c r="J335" s="24"/>
    </row>
    <row r="336">
      <c r="A336" s="6" t="s">
        <v>534</v>
      </c>
      <c r="B336" s="38">
        <v>0.1</v>
      </c>
      <c r="C336" s="6" t="s">
        <v>340</v>
      </c>
      <c r="D336" s="24">
        <f>D312</f>
        <v>0.05723958333</v>
      </c>
      <c r="E336" s="6" t="s">
        <v>340</v>
      </c>
      <c r="F336" s="24">
        <f t="shared" si="31"/>
        <v>0.005723958333</v>
      </c>
      <c r="J336" s="24"/>
    </row>
    <row r="337">
      <c r="A337" s="77"/>
      <c r="B337" s="77"/>
      <c r="J337" s="24"/>
    </row>
    <row r="338">
      <c r="A338" s="151" t="s">
        <v>526</v>
      </c>
      <c r="J338" s="24"/>
    </row>
    <row r="339">
      <c r="A339" s="22" t="s">
        <v>535</v>
      </c>
      <c r="B339" s="38">
        <v>2.0</v>
      </c>
      <c r="C339" s="6" t="s">
        <v>340</v>
      </c>
      <c r="D339" s="24">
        <f>D315</f>
        <v>0.1104166667</v>
      </c>
      <c r="E339" s="6" t="s">
        <v>340</v>
      </c>
      <c r="F339" s="24">
        <f>B339*D339</f>
        <v>0.2208333333</v>
      </c>
      <c r="J339" s="24"/>
    </row>
    <row r="340">
      <c r="A340" s="77"/>
      <c r="B340" s="77"/>
      <c r="J340" s="24"/>
    </row>
    <row r="341">
      <c r="A341" s="84" t="s">
        <v>341</v>
      </c>
      <c r="J341" s="24"/>
    </row>
    <row r="342">
      <c r="A342" s="6" t="s">
        <v>467</v>
      </c>
      <c r="B342" s="38">
        <v>1.0</v>
      </c>
      <c r="C342" s="6" t="s">
        <v>343</v>
      </c>
      <c r="D342" s="24">
        <f t="shared" ref="D342:D345" si="32">D319</f>
        <v>0.03485</v>
      </c>
      <c r="E342" s="6" t="s">
        <v>343</v>
      </c>
      <c r="F342" s="24">
        <f t="shared" ref="F342:F345" si="33">B342*D342</f>
        <v>0.03485</v>
      </c>
      <c r="J342" s="24"/>
    </row>
    <row r="343">
      <c r="A343" s="6" t="s">
        <v>537</v>
      </c>
      <c r="B343" s="38">
        <v>1.0</v>
      </c>
      <c r="C343" s="6" t="s">
        <v>343</v>
      </c>
      <c r="D343" s="24">
        <f t="shared" si="32"/>
        <v>0.04097</v>
      </c>
      <c r="E343" s="6" t="s">
        <v>343</v>
      </c>
      <c r="F343" s="24">
        <f t="shared" si="33"/>
        <v>0.04097</v>
      </c>
      <c r="J343" s="24"/>
    </row>
    <row r="344">
      <c r="A344" s="6" t="s">
        <v>538</v>
      </c>
      <c r="B344" s="38">
        <v>1.0</v>
      </c>
      <c r="C344" s="6" t="s">
        <v>343</v>
      </c>
      <c r="D344" s="24">
        <f t="shared" si="32"/>
        <v>0.01214</v>
      </c>
      <c r="E344" s="6" t="s">
        <v>343</v>
      </c>
      <c r="F344" s="24">
        <f t="shared" si="33"/>
        <v>0.01214</v>
      </c>
      <c r="J344" s="24"/>
    </row>
    <row r="345">
      <c r="A345" s="6" t="s">
        <v>539</v>
      </c>
      <c r="B345" s="38">
        <v>2.0</v>
      </c>
      <c r="C345" s="6" t="s">
        <v>343</v>
      </c>
      <c r="D345" s="24">
        <f t="shared" si="32"/>
        <v>0.00727</v>
      </c>
      <c r="E345" s="6" t="s">
        <v>343</v>
      </c>
      <c r="F345" s="24">
        <f t="shared" si="33"/>
        <v>0.01454</v>
      </c>
      <c r="J345" s="24"/>
    </row>
    <row r="346">
      <c r="B346" s="77"/>
      <c r="J346" s="24"/>
    </row>
    <row r="347">
      <c r="B347" s="77"/>
      <c r="E347" s="89" t="s">
        <v>347</v>
      </c>
      <c r="F347" s="90">
        <f>SUM(F332:F344)</f>
        <v>1.659183958</v>
      </c>
      <c r="G347" s="91" t="s">
        <v>348</v>
      </c>
      <c r="H347" s="91" t="s">
        <v>376</v>
      </c>
      <c r="I347" s="91" t="s">
        <v>350</v>
      </c>
      <c r="J347" s="143" t="s">
        <v>351</v>
      </c>
      <c r="K347" s="91" t="s">
        <v>352</v>
      </c>
    </row>
    <row r="348">
      <c r="B348" s="77"/>
      <c r="E348" s="92" t="s">
        <v>334</v>
      </c>
      <c r="F348" s="93">
        <f>F347/B329</f>
        <v>1.659183958</v>
      </c>
      <c r="G348" s="24">
        <f>F348*5</f>
        <v>8.295919792</v>
      </c>
      <c r="H348" s="21">
        <v>8.0</v>
      </c>
      <c r="I348" s="95">
        <f>F348/H348</f>
        <v>0.2073979948</v>
      </c>
      <c r="J348" s="144">
        <v>9.5</v>
      </c>
      <c r="K348" s="96">
        <f>F348/J348</f>
        <v>0.174650943</v>
      </c>
      <c r="L348" s="24">
        <f>J348-F348</f>
        <v>7.840816042</v>
      </c>
    </row>
    <row r="349">
      <c r="B349" s="77"/>
      <c r="J349" s="24"/>
    </row>
    <row r="350">
      <c r="B350" s="77"/>
      <c r="J350" s="24"/>
    </row>
    <row r="351">
      <c r="A351" s="78" t="s">
        <v>325</v>
      </c>
      <c r="B351" s="78" t="s">
        <v>545</v>
      </c>
      <c r="C351" s="136"/>
      <c r="J351" s="24"/>
    </row>
    <row r="352">
      <c r="A352" s="22" t="s">
        <v>329</v>
      </c>
      <c r="B352" s="22">
        <v>1.0</v>
      </c>
      <c r="D352" s="38" t="s">
        <v>546</v>
      </c>
      <c r="E352" s="22">
        <v>24.0</v>
      </c>
      <c r="J352" s="24"/>
    </row>
    <row r="353">
      <c r="B353" s="77"/>
      <c r="J353" s="24"/>
    </row>
    <row r="354">
      <c r="A354" s="81" t="s">
        <v>332</v>
      </c>
      <c r="B354" s="82" t="s">
        <v>333</v>
      </c>
      <c r="C354" s="83"/>
      <c r="D354" s="82" t="s">
        <v>334</v>
      </c>
      <c r="E354" s="83"/>
      <c r="F354" s="81" t="s">
        <v>335</v>
      </c>
      <c r="J354" s="24"/>
    </row>
    <row r="355">
      <c r="A355" s="84" t="s">
        <v>336</v>
      </c>
      <c r="J355" s="24"/>
    </row>
    <row r="356">
      <c r="A356" s="6" t="s">
        <v>547</v>
      </c>
      <c r="B356" s="38">
        <v>0.25</v>
      </c>
      <c r="C356" s="6" t="s">
        <v>410</v>
      </c>
      <c r="D356" s="24">
        <f>'Full Inventory Cost'!L100</f>
        <v>1.18</v>
      </c>
      <c r="E356" s="6" t="s">
        <v>410</v>
      </c>
      <c r="F356" s="24">
        <f t="shared" ref="F356:F360" si="34">B356*D356</f>
        <v>0.295</v>
      </c>
      <c r="J356" s="24"/>
    </row>
    <row r="357">
      <c r="A357" s="6" t="s">
        <v>548</v>
      </c>
      <c r="B357" s="38">
        <v>0.5</v>
      </c>
      <c r="C357" s="6" t="s">
        <v>338</v>
      </c>
      <c r="D357" s="14">
        <f>'Full Inventory Cost'!N77</f>
        <v>0.03630208333</v>
      </c>
      <c r="E357" s="6" t="s">
        <v>338</v>
      </c>
      <c r="F357" s="24">
        <f t="shared" si="34"/>
        <v>0.01815104167</v>
      </c>
      <c r="G357" s="6" t="s">
        <v>549</v>
      </c>
      <c r="J357" s="24"/>
    </row>
    <row r="358">
      <c r="A358" s="6" t="s">
        <v>550</v>
      </c>
      <c r="B358" s="38">
        <v>2.0</v>
      </c>
      <c r="C358" s="6" t="s">
        <v>372</v>
      </c>
      <c r="D358" s="14">
        <f>'Full Inventory Cost'!M101</f>
        <v>0.2111538462</v>
      </c>
      <c r="E358" s="6" t="s">
        <v>372</v>
      </c>
      <c r="F358" s="24">
        <f t="shared" si="34"/>
        <v>0.4223076923</v>
      </c>
      <c r="G358" s="6" t="s">
        <v>551</v>
      </c>
      <c r="J358" s="24"/>
    </row>
    <row r="359">
      <c r="A359" s="6" t="s">
        <v>366</v>
      </c>
      <c r="B359" s="38">
        <v>0.5</v>
      </c>
      <c r="C359" s="6" t="s">
        <v>372</v>
      </c>
      <c r="D359" s="14">
        <f>'Full Inventory Cost'!M17</f>
        <v>0.09666666667</v>
      </c>
      <c r="E359" s="6" t="s">
        <v>372</v>
      </c>
      <c r="F359" s="24">
        <f t="shared" si="34"/>
        <v>0.04833333333</v>
      </c>
      <c r="J359" s="24"/>
    </row>
    <row r="360">
      <c r="A360" s="6" t="s">
        <v>534</v>
      </c>
      <c r="B360" s="38">
        <v>0.1</v>
      </c>
      <c r="C360" s="6" t="s">
        <v>340</v>
      </c>
      <c r="D360" s="24">
        <f>D335</f>
        <v>0.3233333333</v>
      </c>
      <c r="E360" s="6" t="s">
        <v>340</v>
      </c>
      <c r="F360" s="24">
        <f t="shared" si="34"/>
        <v>0.03233333333</v>
      </c>
      <c r="J360" s="24"/>
    </row>
    <row r="361">
      <c r="A361" s="77"/>
      <c r="B361" s="77"/>
      <c r="J361" s="24"/>
    </row>
    <row r="362">
      <c r="B362" s="77"/>
      <c r="E362" s="89" t="s">
        <v>334</v>
      </c>
      <c r="F362" s="90">
        <f>SUM(F355:F361)</f>
        <v>0.8161254006</v>
      </c>
      <c r="J362" s="24"/>
    </row>
    <row r="363">
      <c r="B363" s="77"/>
      <c r="E363" s="92" t="s">
        <v>552</v>
      </c>
      <c r="F363" s="93">
        <f>F362*E352</f>
        <v>19.58700962</v>
      </c>
      <c r="J363" s="24"/>
    </row>
    <row r="364">
      <c r="B364" s="77"/>
      <c r="J364" s="24"/>
    </row>
    <row r="365">
      <c r="B365" s="77"/>
      <c r="J365" s="24"/>
    </row>
    <row r="366">
      <c r="A366" s="78" t="s">
        <v>325</v>
      </c>
      <c r="B366" s="78" t="s">
        <v>553</v>
      </c>
      <c r="C366" s="136"/>
      <c r="J366" s="24"/>
    </row>
    <row r="367">
      <c r="A367" s="22" t="s">
        <v>329</v>
      </c>
      <c r="B367" s="22">
        <v>1.0</v>
      </c>
      <c r="J367" s="24"/>
    </row>
    <row r="368">
      <c r="B368" s="77"/>
      <c r="J368" s="24"/>
    </row>
    <row r="369">
      <c r="A369" s="81" t="s">
        <v>332</v>
      </c>
      <c r="B369" s="82" t="s">
        <v>333</v>
      </c>
      <c r="C369" s="83"/>
      <c r="D369" s="82" t="s">
        <v>334</v>
      </c>
      <c r="E369" s="83"/>
      <c r="F369" s="81" t="s">
        <v>335</v>
      </c>
      <c r="J369" s="24"/>
    </row>
    <row r="370">
      <c r="A370" s="84" t="s">
        <v>336</v>
      </c>
      <c r="J370" s="24"/>
    </row>
    <row r="371">
      <c r="A371" s="6" t="s">
        <v>531</v>
      </c>
      <c r="B371" s="38">
        <v>2.0</v>
      </c>
      <c r="C371" s="6" t="s">
        <v>343</v>
      </c>
      <c r="D371" s="24">
        <f>D333</f>
        <v>0.3316666667</v>
      </c>
      <c r="E371" s="6" t="s">
        <v>343</v>
      </c>
      <c r="F371" s="24">
        <f t="shared" ref="F371:F374" si="35">B371*D371</f>
        <v>0.6633333333</v>
      </c>
      <c r="J371" s="24"/>
    </row>
    <row r="372">
      <c r="A372" s="6" t="s">
        <v>554</v>
      </c>
      <c r="B372" s="38">
        <v>1.0</v>
      </c>
      <c r="C372" s="6" t="s">
        <v>343</v>
      </c>
      <c r="D372" s="24">
        <f>'Full Inventory Cost'!K102</f>
        <v>0.179</v>
      </c>
      <c r="E372" s="6" t="s">
        <v>343</v>
      </c>
      <c r="F372" s="24">
        <f t="shared" si="35"/>
        <v>0.179</v>
      </c>
      <c r="J372" s="24"/>
    </row>
    <row r="373">
      <c r="A373" s="6" t="s">
        <v>545</v>
      </c>
      <c r="B373" s="38">
        <v>1.0</v>
      </c>
      <c r="C373" s="6" t="s">
        <v>343</v>
      </c>
      <c r="D373" s="24">
        <f>F362</f>
        <v>0.8161254006</v>
      </c>
      <c r="E373" s="6" t="s">
        <v>343</v>
      </c>
      <c r="F373" s="24">
        <f t="shared" si="35"/>
        <v>0.8161254006</v>
      </c>
      <c r="J373" s="24"/>
    </row>
    <row r="374">
      <c r="A374" s="6" t="s">
        <v>534</v>
      </c>
      <c r="B374" s="38">
        <v>0.1</v>
      </c>
      <c r="C374" s="6" t="s">
        <v>340</v>
      </c>
      <c r="D374" s="24">
        <f>D360</f>
        <v>0.3233333333</v>
      </c>
      <c r="E374" s="6" t="s">
        <v>340</v>
      </c>
      <c r="F374" s="24">
        <f t="shared" si="35"/>
        <v>0.03233333333</v>
      </c>
      <c r="J374" s="24"/>
    </row>
    <row r="375">
      <c r="A375" s="77"/>
      <c r="B375" s="77"/>
      <c r="J375" s="24"/>
    </row>
    <row r="376">
      <c r="A376" s="151" t="s">
        <v>526</v>
      </c>
      <c r="J376" s="24"/>
    </row>
    <row r="377">
      <c r="A377" s="22" t="s">
        <v>555</v>
      </c>
      <c r="B377" s="38">
        <v>1.0</v>
      </c>
      <c r="C377" s="6" t="s">
        <v>343</v>
      </c>
      <c r="D377" s="24">
        <f>'Full Inventory Cost'!K132</f>
        <v>0.07695</v>
      </c>
      <c r="E377" s="6" t="s">
        <v>343</v>
      </c>
      <c r="F377" s="24">
        <f>B377*D377</f>
        <v>0.07695</v>
      </c>
      <c r="J377" s="24"/>
    </row>
    <row r="378">
      <c r="A378" s="77"/>
      <c r="B378" s="77"/>
      <c r="J378" s="24"/>
    </row>
    <row r="379">
      <c r="A379" s="84" t="s">
        <v>341</v>
      </c>
      <c r="J379" s="24"/>
    </row>
    <row r="380">
      <c r="A380" s="6" t="s">
        <v>467</v>
      </c>
      <c r="B380" s="38">
        <v>1.0</v>
      </c>
      <c r="C380" s="6" t="s">
        <v>343</v>
      </c>
      <c r="D380" s="24">
        <f t="shared" ref="D380:D383" si="36">D342</f>
        <v>0.03485</v>
      </c>
      <c r="E380" s="6" t="s">
        <v>343</v>
      </c>
      <c r="F380" s="24">
        <f t="shared" ref="F380:F383" si="37">B380*D380</f>
        <v>0.03485</v>
      </c>
      <c r="J380" s="24"/>
    </row>
    <row r="381">
      <c r="A381" s="6" t="s">
        <v>537</v>
      </c>
      <c r="B381" s="38">
        <v>1.0</v>
      </c>
      <c r="C381" s="6" t="s">
        <v>343</v>
      </c>
      <c r="D381" s="24">
        <f t="shared" si="36"/>
        <v>0.04097</v>
      </c>
      <c r="E381" s="6" t="s">
        <v>343</v>
      </c>
      <c r="F381" s="24">
        <f t="shared" si="37"/>
        <v>0.04097</v>
      </c>
      <c r="J381" s="24"/>
    </row>
    <row r="382">
      <c r="A382" s="6" t="s">
        <v>538</v>
      </c>
      <c r="B382" s="38">
        <v>1.0</v>
      </c>
      <c r="C382" s="6" t="s">
        <v>343</v>
      </c>
      <c r="D382" s="24">
        <f t="shared" si="36"/>
        <v>0.01214</v>
      </c>
      <c r="E382" s="6" t="s">
        <v>343</v>
      </c>
      <c r="F382" s="24">
        <f t="shared" si="37"/>
        <v>0.01214</v>
      </c>
      <c r="J382" s="24"/>
    </row>
    <row r="383">
      <c r="A383" s="6" t="s">
        <v>539</v>
      </c>
      <c r="B383" s="38">
        <v>2.0</v>
      </c>
      <c r="C383" s="6" t="s">
        <v>343</v>
      </c>
      <c r="D383" s="24">
        <f t="shared" si="36"/>
        <v>0.00727</v>
      </c>
      <c r="E383" s="6" t="s">
        <v>343</v>
      </c>
      <c r="F383" s="24">
        <f t="shared" si="37"/>
        <v>0.01454</v>
      </c>
      <c r="J383" s="24"/>
    </row>
    <row r="384">
      <c r="B384" s="77"/>
      <c r="J384" s="24"/>
    </row>
    <row r="385">
      <c r="B385" s="77"/>
      <c r="E385" s="89" t="s">
        <v>347</v>
      </c>
      <c r="F385" s="90">
        <f>SUM(F370:F382)</f>
        <v>1.855702067</v>
      </c>
      <c r="G385" s="91" t="s">
        <v>348</v>
      </c>
      <c r="H385" s="91" t="s">
        <v>376</v>
      </c>
      <c r="I385" s="91" t="s">
        <v>350</v>
      </c>
      <c r="J385" s="143" t="s">
        <v>351</v>
      </c>
      <c r="K385" s="91" t="s">
        <v>352</v>
      </c>
    </row>
    <row r="386">
      <c r="B386" s="77"/>
      <c r="E386" s="92" t="s">
        <v>334</v>
      </c>
      <c r="F386" s="93">
        <f>F385/B367</f>
        <v>1.855702067</v>
      </c>
      <c r="G386" s="24">
        <f>F386*5</f>
        <v>9.278510337</v>
      </c>
      <c r="H386" s="21">
        <v>8.0</v>
      </c>
      <c r="I386" s="95">
        <f>F386/H386</f>
        <v>0.2319627584</v>
      </c>
      <c r="J386" s="144">
        <v>9.0</v>
      </c>
      <c r="K386" s="96">
        <f>F386/J386</f>
        <v>0.2061891186</v>
      </c>
      <c r="L386" s="24">
        <f>J386-F386</f>
        <v>7.144297933</v>
      </c>
    </row>
    <row r="387">
      <c r="B387" s="77"/>
      <c r="J387" s="24"/>
    </row>
    <row r="388">
      <c r="B388" s="77"/>
      <c r="J388" s="24"/>
    </row>
    <row r="389">
      <c r="A389" s="78" t="s">
        <v>325</v>
      </c>
      <c r="B389" s="78" t="s">
        <v>556</v>
      </c>
      <c r="C389" s="136"/>
      <c r="J389" s="24"/>
    </row>
    <row r="390">
      <c r="A390" s="22" t="s">
        <v>329</v>
      </c>
      <c r="B390" s="22">
        <v>1.0</v>
      </c>
      <c r="J390" s="24"/>
    </row>
    <row r="391">
      <c r="B391" s="77"/>
      <c r="J391" s="24"/>
    </row>
    <row r="392">
      <c r="A392" s="81" t="s">
        <v>332</v>
      </c>
      <c r="B392" s="82" t="s">
        <v>333</v>
      </c>
      <c r="C392" s="83"/>
      <c r="D392" s="82" t="s">
        <v>334</v>
      </c>
      <c r="E392" s="83"/>
      <c r="F392" s="81" t="s">
        <v>335</v>
      </c>
      <c r="J392" s="24"/>
    </row>
    <row r="393">
      <c r="A393" s="84" t="s">
        <v>336</v>
      </c>
      <c r="J393" s="24"/>
    </row>
    <row r="394">
      <c r="A394" s="6" t="s">
        <v>531</v>
      </c>
      <c r="B394" s="38">
        <v>2.0</v>
      </c>
      <c r="C394" s="6" t="s">
        <v>343</v>
      </c>
      <c r="D394" s="24">
        <f>'Full Inventory Cost'!K73</f>
        <v>0.3316666667</v>
      </c>
      <c r="E394" s="6" t="s">
        <v>343</v>
      </c>
      <c r="F394" s="24">
        <f t="shared" ref="F394:F396" si="38">B394*D394</f>
        <v>0.6633333333</v>
      </c>
      <c r="J394" s="24"/>
    </row>
    <row r="395">
      <c r="A395" s="6" t="s">
        <v>554</v>
      </c>
      <c r="B395" s="38">
        <v>3.0</v>
      </c>
      <c r="C395" s="6" t="s">
        <v>343</v>
      </c>
      <c r="D395" s="24">
        <f>'Full Inventory Cost'!K102</f>
        <v>0.179</v>
      </c>
      <c r="E395" s="6" t="s">
        <v>343</v>
      </c>
      <c r="F395" s="24">
        <f t="shared" si="38"/>
        <v>0.537</v>
      </c>
      <c r="J395" s="24"/>
    </row>
    <row r="396">
      <c r="A396" s="6" t="s">
        <v>534</v>
      </c>
      <c r="B396" s="38">
        <v>0.1</v>
      </c>
      <c r="C396" s="6" t="s">
        <v>340</v>
      </c>
      <c r="D396" s="24">
        <f>'Full Inventory Cost'!K106</f>
        <v>0.2341176471</v>
      </c>
      <c r="E396" s="6" t="s">
        <v>340</v>
      </c>
      <c r="F396" s="24">
        <f t="shared" si="38"/>
        <v>0.02341176471</v>
      </c>
      <c r="J396" s="24"/>
    </row>
    <row r="397">
      <c r="B397" s="38"/>
      <c r="J397" s="24"/>
    </row>
    <row r="398">
      <c r="A398" s="77"/>
      <c r="B398" s="77"/>
      <c r="J398" s="24"/>
    </row>
    <row r="399">
      <c r="A399" s="84" t="s">
        <v>341</v>
      </c>
      <c r="J399" s="24"/>
    </row>
    <row r="400">
      <c r="A400" s="6" t="s">
        <v>467</v>
      </c>
      <c r="B400" s="38">
        <v>1.0</v>
      </c>
      <c r="C400" s="6" t="s">
        <v>343</v>
      </c>
      <c r="D400" s="24">
        <f>'Full Inventory Cost'!K161</f>
        <v>0.03485</v>
      </c>
      <c r="E400" s="6" t="s">
        <v>343</v>
      </c>
      <c r="F400" s="24">
        <f t="shared" ref="F400:F403" si="39">B400*D400</f>
        <v>0.03485</v>
      </c>
      <c r="J400" s="24"/>
    </row>
    <row r="401">
      <c r="A401" s="6" t="s">
        <v>537</v>
      </c>
      <c r="B401" s="38">
        <v>1.0</v>
      </c>
      <c r="C401" s="6" t="s">
        <v>343</v>
      </c>
      <c r="D401" s="24">
        <f>'Full Inventory Cost'!K159</f>
        <v>0.04097</v>
      </c>
      <c r="E401" s="6" t="s">
        <v>343</v>
      </c>
      <c r="F401" s="24">
        <f t="shared" si="39"/>
        <v>0.04097</v>
      </c>
      <c r="J401" s="24"/>
    </row>
    <row r="402">
      <c r="A402" s="6" t="s">
        <v>538</v>
      </c>
      <c r="B402" s="38">
        <v>1.0</v>
      </c>
      <c r="C402" s="6" t="s">
        <v>343</v>
      </c>
      <c r="D402" s="24">
        <f>'Full Inventory Cost'!K163</f>
        <v>0.01214</v>
      </c>
      <c r="E402" s="6" t="s">
        <v>343</v>
      </c>
      <c r="F402" s="24">
        <f t="shared" si="39"/>
        <v>0.01214</v>
      </c>
      <c r="J402" s="24"/>
    </row>
    <row r="403">
      <c r="A403" s="6" t="s">
        <v>539</v>
      </c>
      <c r="B403" s="38">
        <v>2.0</v>
      </c>
      <c r="C403" s="6" t="s">
        <v>343</v>
      </c>
      <c r="D403" s="24">
        <f>'Full Inventory Cost'!K157</f>
        <v>0.00727</v>
      </c>
      <c r="E403" s="6" t="s">
        <v>343</v>
      </c>
      <c r="F403" s="24">
        <f t="shared" si="39"/>
        <v>0.01454</v>
      </c>
      <c r="J403" s="24"/>
    </row>
    <row r="404">
      <c r="B404" s="77"/>
      <c r="J404" s="24"/>
    </row>
    <row r="405">
      <c r="B405" s="77"/>
      <c r="E405" s="89" t="s">
        <v>347</v>
      </c>
      <c r="F405" s="90">
        <f>SUM(F393:F402)</f>
        <v>1.311705098</v>
      </c>
      <c r="G405" s="91" t="s">
        <v>348</v>
      </c>
      <c r="H405" s="91" t="s">
        <v>376</v>
      </c>
      <c r="I405" s="91" t="s">
        <v>350</v>
      </c>
      <c r="J405" s="143" t="s">
        <v>351</v>
      </c>
      <c r="K405" s="91" t="s">
        <v>352</v>
      </c>
    </row>
    <row r="406">
      <c r="B406" s="77"/>
      <c r="E406" s="92" t="s">
        <v>334</v>
      </c>
      <c r="F406" s="93">
        <f>F405/B390</f>
        <v>1.311705098</v>
      </c>
      <c r="G406" s="24">
        <f>F406*5</f>
        <v>6.55852549</v>
      </c>
      <c r="H406" s="21">
        <v>5.0</v>
      </c>
      <c r="I406" s="95">
        <f>F406/H406</f>
        <v>0.2623410196</v>
      </c>
      <c r="J406" s="144">
        <v>7.0</v>
      </c>
      <c r="K406" s="96">
        <f>F406/J406</f>
        <v>0.1873864426</v>
      </c>
      <c r="L406" s="24">
        <f>J406-F406</f>
        <v>5.688294902</v>
      </c>
    </row>
    <row r="407">
      <c r="B407" s="77"/>
      <c r="J407" s="24"/>
    </row>
    <row r="408">
      <c r="B408" s="77"/>
      <c r="J408" s="24"/>
    </row>
    <row r="409">
      <c r="J409" s="24"/>
    </row>
    <row r="410">
      <c r="J410" s="24"/>
    </row>
    <row r="411">
      <c r="A411" s="78" t="s">
        <v>325</v>
      </c>
      <c r="B411" s="78" t="s">
        <v>557</v>
      </c>
      <c r="D411" s="76"/>
      <c r="J411" s="24"/>
    </row>
    <row r="412">
      <c r="A412" s="22" t="s">
        <v>329</v>
      </c>
      <c r="B412" s="22">
        <v>1.0</v>
      </c>
      <c r="J412" s="24"/>
    </row>
    <row r="413">
      <c r="B413" s="77"/>
      <c r="J413" s="24"/>
    </row>
    <row r="414">
      <c r="A414" s="81" t="s">
        <v>332</v>
      </c>
      <c r="B414" s="82" t="s">
        <v>333</v>
      </c>
      <c r="C414" s="83"/>
      <c r="D414" s="82" t="s">
        <v>334</v>
      </c>
      <c r="E414" s="83"/>
      <c r="F414" s="81" t="s">
        <v>335</v>
      </c>
      <c r="J414" s="24"/>
    </row>
    <row r="415">
      <c r="A415" s="84" t="s">
        <v>558</v>
      </c>
      <c r="J415" s="24"/>
    </row>
    <row r="416">
      <c r="A416" s="6" t="s">
        <v>559</v>
      </c>
      <c r="B416" s="38">
        <v>2.5</v>
      </c>
      <c r="C416" s="6" t="s">
        <v>340</v>
      </c>
      <c r="D416" s="21">
        <f>'Full Inventory Cost'!K19</f>
        <v>0</v>
      </c>
      <c r="E416" s="6" t="s">
        <v>340</v>
      </c>
      <c r="F416" s="24">
        <f t="shared" ref="F416:F420" si="40">B416*D416</f>
        <v>0</v>
      </c>
      <c r="J416" s="24"/>
    </row>
    <row r="417">
      <c r="A417" s="6" t="s">
        <v>560</v>
      </c>
      <c r="B417" s="6">
        <v>0.25</v>
      </c>
      <c r="C417" s="6" t="s">
        <v>410</v>
      </c>
      <c r="D417" s="24">
        <f>'Full Inventory Cost'!K73</f>
        <v>0.3316666667</v>
      </c>
      <c r="E417" s="6" t="s">
        <v>410</v>
      </c>
      <c r="F417" s="24">
        <f t="shared" si="40"/>
        <v>0.08291666667</v>
      </c>
      <c r="J417" s="24"/>
    </row>
    <row r="418">
      <c r="A418" s="6" t="s">
        <v>561</v>
      </c>
      <c r="B418" s="6">
        <v>2.0</v>
      </c>
      <c r="C418" s="6" t="s">
        <v>340</v>
      </c>
      <c r="D418" s="24">
        <f>'Full Inventory Cost'!K108</f>
        <v>0</v>
      </c>
      <c r="E418" s="6" t="s">
        <v>340</v>
      </c>
      <c r="F418" s="24">
        <f t="shared" si="40"/>
        <v>0</v>
      </c>
      <c r="J418" s="24"/>
    </row>
    <row r="419">
      <c r="A419" s="6" t="s">
        <v>562</v>
      </c>
      <c r="B419" s="6">
        <v>1.0</v>
      </c>
      <c r="C419" s="6" t="s">
        <v>340</v>
      </c>
      <c r="D419" s="6">
        <v>0.19</v>
      </c>
      <c r="E419" s="6" t="s">
        <v>340</v>
      </c>
      <c r="F419" s="24">
        <f t="shared" si="40"/>
        <v>0.19</v>
      </c>
      <c r="J419" s="24"/>
    </row>
    <row r="420">
      <c r="A420" s="6" t="s">
        <v>563</v>
      </c>
      <c r="B420" s="6">
        <v>0.25</v>
      </c>
      <c r="C420" s="6" t="s">
        <v>410</v>
      </c>
      <c r="D420" s="24">
        <f>F516</f>
        <v>0.03144791667</v>
      </c>
      <c r="E420" s="6" t="s">
        <v>410</v>
      </c>
      <c r="F420" s="24">
        <f t="shared" si="40"/>
        <v>0.007861979167</v>
      </c>
      <c r="J420" s="24"/>
    </row>
    <row r="421">
      <c r="J421" s="24"/>
    </row>
    <row r="422">
      <c r="A422" s="84" t="s">
        <v>341</v>
      </c>
      <c r="J422" s="24"/>
    </row>
    <row r="423">
      <c r="A423" s="6" t="s">
        <v>564</v>
      </c>
      <c r="B423" s="38">
        <v>1.0</v>
      </c>
      <c r="C423" s="6" t="s">
        <v>343</v>
      </c>
      <c r="D423" s="24">
        <f>'Full Inventory Cost'!K167</f>
        <v>0.2989</v>
      </c>
      <c r="E423" s="6" t="s">
        <v>343</v>
      </c>
      <c r="F423" s="24">
        <f t="shared" ref="F423:F426" si="41">B423*D423</f>
        <v>0.2989</v>
      </c>
      <c r="J423" s="24"/>
    </row>
    <row r="424">
      <c r="A424" s="6" t="s">
        <v>565</v>
      </c>
      <c r="B424" s="38">
        <v>2.0</v>
      </c>
      <c r="C424" s="6" t="s">
        <v>343</v>
      </c>
      <c r="D424" s="24">
        <f>'Full Inventory Cost'!K157</f>
        <v>0.00727</v>
      </c>
      <c r="E424" s="6" t="s">
        <v>343</v>
      </c>
      <c r="F424" s="24">
        <f t="shared" si="41"/>
        <v>0.01454</v>
      </c>
      <c r="J424" s="24"/>
    </row>
    <row r="425">
      <c r="A425" s="6" t="s">
        <v>513</v>
      </c>
      <c r="B425" s="38">
        <v>1.0</v>
      </c>
      <c r="C425" s="6" t="s">
        <v>343</v>
      </c>
      <c r="D425" s="24">
        <f>'Full Inventory Cost'!K171</f>
        <v>0.02149</v>
      </c>
      <c r="E425" s="6" t="s">
        <v>343</v>
      </c>
      <c r="F425" s="24">
        <f t="shared" si="41"/>
        <v>0.02149</v>
      </c>
      <c r="J425" s="24"/>
    </row>
    <row r="426">
      <c r="A426" s="6" t="s">
        <v>566</v>
      </c>
      <c r="B426" s="38">
        <v>1.0</v>
      </c>
      <c r="C426" s="6" t="s">
        <v>343</v>
      </c>
      <c r="D426" s="24">
        <f>'Full Inventory Cost'!K163</f>
        <v>0.01214</v>
      </c>
      <c r="E426" s="6" t="s">
        <v>343</v>
      </c>
      <c r="F426" s="24">
        <f t="shared" si="41"/>
        <v>0.01214</v>
      </c>
      <c r="J426" s="24"/>
    </row>
    <row r="427">
      <c r="B427" s="77"/>
      <c r="J427" s="24"/>
    </row>
    <row r="428">
      <c r="B428" s="77"/>
      <c r="E428" s="89" t="s">
        <v>347</v>
      </c>
      <c r="F428" s="90">
        <f>SUM(F415:F426)</f>
        <v>0.6278486458</v>
      </c>
      <c r="G428" s="91" t="s">
        <v>348</v>
      </c>
      <c r="H428" s="91" t="s">
        <v>376</v>
      </c>
      <c r="I428" s="91" t="s">
        <v>350</v>
      </c>
      <c r="J428" s="143" t="s">
        <v>351</v>
      </c>
      <c r="K428" s="91" t="s">
        <v>352</v>
      </c>
    </row>
    <row r="429">
      <c r="B429" s="77"/>
      <c r="E429" s="92" t="s">
        <v>334</v>
      </c>
      <c r="F429" s="93">
        <f>F428/B412</f>
        <v>0.6278486458</v>
      </c>
      <c r="G429" s="24">
        <f>F429*5</f>
        <v>3.139243229</v>
      </c>
      <c r="H429" s="21">
        <v>9.0</v>
      </c>
      <c r="I429" s="95">
        <f>F429/H429</f>
        <v>0.06976096065</v>
      </c>
      <c r="J429" s="144">
        <v>9.5</v>
      </c>
      <c r="K429" s="96">
        <f>F429/J429</f>
        <v>0.06608933114</v>
      </c>
      <c r="L429" s="24">
        <f>J429-F429</f>
        <v>8.872151354</v>
      </c>
    </row>
    <row r="430">
      <c r="B430" s="77"/>
      <c r="J430" s="24"/>
    </row>
    <row r="431">
      <c r="A431" s="78" t="s">
        <v>325</v>
      </c>
      <c r="B431" s="78" t="s">
        <v>567</v>
      </c>
      <c r="D431" s="76"/>
      <c r="J431" s="24"/>
    </row>
    <row r="432">
      <c r="A432" s="22" t="s">
        <v>329</v>
      </c>
      <c r="B432" s="22">
        <v>1.0</v>
      </c>
      <c r="J432" s="24"/>
    </row>
    <row r="433">
      <c r="B433" s="77"/>
      <c r="J433" s="24"/>
    </row>
    <row r="434">
      <c r="A434" s="81" t="s">
        <v>332</v>
      </c>
      <c r="B434" s="82" t="s">
        <v>333</v>
      </c>
      <c r="C434" s="83"/>
      <c r="D434" s="82" t="s">
        <v>334</v>
      </c>
      <c r="E434" s="83"/>
      <c r="F434" s="81" t="s">
        <v>335</v>
      </c>
      <c r="J434" s="24"/>
    </row>
    <row r="435">
      <c r="A435" s="84" t="s">
        <v>568</v>
      </c>
      <c r="J435" s="24"/>
    </row>
    <row r="436">
      <c r="A436" s="6" t="s">
        <v>568</v>
      </c>
      <c r="B436" s="38">
        <v>1.0</v>
      </c>
      <c r="C436" s="6" t="s">
        <v>343</v>
      </c>
      <c r="D436" s="21">
        <f>'Full Inventory Cost'!K74</f>
        <v>0.6616666667</v>
      </c>
      <c r="E436" s="6" t="s">
        <v>343</v>
      </c>
      <c r="F436" s="24">
        <f t="shared" ref="F436:F437" si="42">B436*D436</f>
        <v>0.6616666667</v>
      </c>
      <c r="J436" s="24"/>
    </row>
    <row r="437">
      <c r="A437" s="6" t="s">
        <v>569</v>
      </c>
      <c r="B437" s="6">
        <v>0.0</v>
      </c>
      <c r="C437" s="6" t="s">
        <v>343</v>
      </c>
      <c r="D437" s="24">
        <f>'Full Inventory Cost'!K136</f>
        <v>0.6797</v>
      </c>
      <c r="E437" s="6" t="s">
        <v>343</v>
      </c>
      <c r="F437" s="24">
        <f t="shared" si="42"/>
        <v>0</v>
      </c>
      <c r="J437" s="24"/>
    </row>
    <row r="438">
      <c r="J438" s="24"/>
    </row>
    <row r="439">
      <c r="J439" s="24"/>
    </row>
    <row r="440">
      <c r="A440" s="84" t="s">
        <v>341</v>
      </c>
      <c r="J440" s="24"/>
    </row>
    <row r="441">
      <c r="A441" s="6" t="s">
        <v>467</v>
      </c>
      <c r="B441" s="38">
        <v>1.0</v>
      </c>
      <c r="C441" s="6" t="s">
        <v>343</v>
      </c>
      <c r="D441" s="24">
        <f>'Full Inventory Cost'!K161</f>
        <v>0.03485</v>
      </c>
      <c r="E441" s="6" t="s">
        <v>343</v>
      </c>
      <c r="F441" s="24">
        <f t="shared" ref="F441:F443" si="43">B441*D441</f>
        <v>0.03485</v>
      </c>
      <c r="J441" s="24"/>
    </row>
    <row r="442">
      <c r="A442" s="6" t="s">
        <v>441</v>
      </c>
      <c r="B442" s="38">
        <v>2.0</v>
      </c>
      <c r="C442" s="6" t="s">
        <v>343</v>
      </c>
      <c r="D442" s="24">
        <f>'Full Inventory Cost'!K157</f>
        <v>0.00727</v>
      </c>
      <c r="E442" s="6" t="s">
        <v>343</v>
      </c>
      <c r="F442" s="24">
        <f t="shared" si="43"/>
        <v>0.01454</v>
      </c>
      <c r="J442" s="24"/>
    </row>
    <row r="443">
      <c r="A443" s="6" t="s">
        <v>570</v>
      </c>
      <c r="B443" s="38">
        <v>1.0</v>
      </c>
      <c r="C443" s="6" t="s">
        <v>343</v>
      </c>
      <c r="D443" s="24">
        <f>D424</f>
        <v>0.00727</v>
      </c>
      <c r="E443" s="6" t="s">
        <v>343</v>
      </c>
      <c r="F443" s="24">
        <f t="shared" si="43"/>
        <v>0.00727</v>
      </c>
      <c r="J443" s="24"/>
    </row>
    <row r="444">
      <c r="B444" s="38"/>
      <c r="J444" s="24"/>
    </row>
    <row r="445">
      <c r="B445" s="77"/>
      <c r="J445" s="24"/>
    </row>
    <row r="446">
      <c r="B446" s="77"/>
      <c r="E446" s="89" t="s">
        <v>347</v>
      </c>
      <c r="F446" s="90">
        <f>SUM(F435:F444)</f>
        <v>0.7183266667</v>
      </c>
      <c r="G446" s="91" t="s">
        <v>348</v>
      </c>
      <c r="H446" s="91" t="s">
        <v>376</v>
      </c>
      <c r="I446" s="91" t="s">
        <v>350</v>
      </c>
      <c r="J446" s="143" t="s">
        <v>351</v>
      </c>
      <c r="K446" s="91" t="s">
        <v>352</v>
      </c>
    </row>
    <row r="447">
      <c r="B447" s="77"/>
      <c r="E447" s="92" t="s">
        <v>334</v>
      </c>
      <c r="F447" s="93">
        <f>F446/B432</f>
        <v>0.7183266667</v>
      </c>
      <c r="G447" s="24">
        <f>F447*5</f>
        <v>3.591633333</v>
      </c>
      <c r="H447" s="21">
        <v>4.5</v>
      </c>
      <c r="I447" s="95">
        <f>F447/H447</f>
        <v>0.1596281481</v>
      </c>
      <c r="J447" s="144">
        <v>4.5</v>
      </c>
      <c r="K447" s="96">
        <f>F447/J447</f>
        <v>0.1596281481</v>
      </c>
      <c r="L447" s="24">
        <f>J447-F447</f>
        <v>3.781673333</v>
      </c>
    </row>
    <row r="448">
      <c r="B448" s="77"/>
      <c r="J448" s="24"/>
    </row>
    <row r="449">
      <c r="B449" s="77"/>
      <c r="J449" s="24"/>
    </row>
    <row r="450">
      <c r="A450" s="78" t="s">
        <v>325</v>
      </c>
      <c r="B450" s="78" t="s">
        <v>419</v>
      </c>
      <c r="D450" s="76" t="s">
        <v>34</v>
      </c>
      <c r="J450" s="24"/>
    </row>
    <row r="451">
      <c r="A451" s="22" t="s">
        <v>329</v>
      </c>
      <c r="B451" s="22">
        <v>1.0</v>
      </c>
      <c r="J451" s="24"/>
    </row>
    <row r="452">
      <c r="B452" s="77"/>
      <c r="J452" s="24"/>
    </row>
    <row r="453">
      <c r="A453" s="81" t="s">
        <v>332</v>
      </c>
      <c r="B453" s="82" t="s">
        <v>333</v>
      </c>
      <c r="C453" s="83"/>
      <c r="D453" s="82" t="s">
        <v>334</v>
      </c>
      <c r="E453" s="83"/>
      <c r="F453" s="81" t="s">
        <v>335</v>
      </c>
      <c r="J453" s="24"/>
    </row>
    <row r="454">
      <c r="A454" s="84" t="s">
        <v>383</v>
      </c>
      <c r="J454" s="24"/>
    </row>
    <row r="455">
      <c r="A455" s="6" t="s">
        <v>339</v>
      </c>
      <c r="B455" s="38">
        <v>7.0</v>
      </c>
      <c r="C455" s="6" t="s">
        <v>340</v>
      </c>
      <c r="D455" s="21">
        <f>'Full Inventory Cost'!K20</f>
        <v>0.03109375</v>
      </c>
      <c r="E455" s="6" t="s">
        <v>340</v>
      </c>
      <c r="F455" s="24">
        <f t="shared" ref="F455:F457" si="44">B455*D455</f>
        <v>0.21765625</v>
      </c>
      <c r="J455" s="24"/>
    </row>
    <row r="456">
      <c r="A456" s="6" t="s">
        <v>420</v>
      </c>
      <c r="B456" s="132">
        <v>8.0</v>
      </c>
      <c r="C456" s="6" t="s">
        <v>340</v>
      </c>
      <c r="D456" s="24">
        <f>'Full Inventory Cost'!K8</f>
        <v>0.10390625</v>
      </c>
      <c r="E456" s="6" t="s">
        <v>340</v>
      </c>
      <c r="F456" s="24">
        <f t="shared" si="44"/>
        <v>0.83125</v>
      </c>
      <c r="J456" s="24"/>
    </row>
    <row r="457">
      <c r="A457" s="6" t="s">
        <v>421</v>
      </c>
      <c r="B457" s="38">
        <v>2.0</v>
      </c>
      <c r="C457" s="6" t="s">
        <v>398</v>
      </c>
      <c r="D457" s="60">
        <f>'Full Inventory Cost'!M59</f>
        <v>0.1792588496</v>
      </c>
      <c r="E457" s="6" t="s">
        <v>398</v>
      </c>
      <c r="F457" s="24">
        <f t="shared" si="44"/>
        <v>0.3585176991</v>
      </c>
      <c r="J457" s="24"/>
    </row>
    <row r="458">
      <c r="J458" s="24"/>
    </row>
    <row r="459">
      <c r="A459" s="84" t="s">
        <v>341</v>
      </c>
      <c r="J459" s="24"/>
    </row>
    <row r="460">
      <c r="A460" s="6" t="s">
        <v>342</v>
      </c>
      <c r="B460" s="38">
        <v>1.0</v>
      </c>
      <c r="C460" s="6" t="s">
        <v>343</v>
      </c>
      <c r="D460" s="24">
        <f>'Full Inventory Cost'!K147</f>
        <v>0.0972</v>
      </c>
      <c r="E460" s="6" t="s">
        <v>343</v>
      </c>
      <c r="F460" s="24">
        <f t="shared" ref="F460:F463" si="45">B460*D460</f>
        <v>0.0972</v>
      </c>
      <c r="J460" s="24"/>
    </row>
    <row r="461">
      <c r="A461" s="6" t="s">
        <v>344</v>
      </c>
      <c r="B461" s="38">
        <v>1.0</v>
      </c>
      <c r="C461" s="6" t="s">
        <v>343</v>
      </c>
      <c r="D461" s="24">
        <f>'Full Inventory Cost'!K151</f>
        <v>0.05099</v>
      </c>
      <c r="E461" s="6" t="s">
        <v>343</v>
      </c>
      <c r="F461" s="24">
        <f t="shared" si="45"/>
        <v>0.05099</v>
      </c>
      <c r="J461" s="24"/>
    </row>
    <row r="462">
      <c r="A462" s="6" t="s">
        <v>345</v>
      </c>
      <c r="B462" s="38">
        <v>1.0</v>
      </c>
      <c r="C462" s="6" t="s">
        <v>343</v>
      </c>
      <c r="D462" s="24">
        <f>'Full Inventory Cost'!K154</f>
        <v>0.01909</v>
      </c>
      <c r="E462" s="6" t="s">
        <v>343</v>
      </c>
      <c r="F462" s="24">
        <f t="shared" si="45"/>
        <v>0.01909</v>
      </c>
      <c r="J462" s="24"/>
    </row>
    <row r="463">
      <c r="A463" s="6" t="s">
        <v>346</v>
      </c>
      <c r="B463" s="38">
        <v>0.0</v>
      </c>
      <c r="C463" s="6" t="s">
        <v>343</v>
      </c>
      <c r="D463" s="21">
        <f>'Full Inventory Cost'!K173</f>
        <v>0.04959</v>
      </c>
      <c r="E463" s="6" t="s">
        <v>343</v>
      </c>
      <c r="F463" s="24">
        <f t="shared" si="45"/>
        <v>0</v>
      </c>
      <c r="J463" s="24"/>
    </row>
    <row r="464">
      <c r="B464" s="77"/>
      <c r="J464" s="24"/>
    </row>
    <row r="465">
      <c r="B465" s="77"/>
      <c r="E465" s="89" t="s">
        <v>347</v>
      </c>
      <c r="F465" s="90">
        <f>SUM(F454:F463)</f>
        <v>1.574703949</v>
      </c>
      <c r="G465" s="91" t="s">
        <v>348</v>
      </c>
      <c r="H465" s="91" t="s">
        <v>376</v>
      </c>
      <c r="I465" s="91" t="s">
        <v>350</v>
      </c>
      <c r="J465" s="143" t="s">
        <v>351</v>
      </c>
      <c r="K465" s="91" t="s">
        <v>352</v>
      </c>
    </row>
    <row r="466">
      <c r="B466" s="77"/>
      <c r="E466" s="92" t="s">
        <v>334</v>
      </c>
      <c r="F466" s="93">
        <f>F465/B451</f>
        <v>1.574703949</v>
      </c>
      <c r="G466" s="24">
        <f>F466*5</f>
        <v>7.873519746</v>
      </c>
      <c r="H466" s="21">
        <v>7.0</v>
      </c>
      <c r="I466" s="95">
        <f>F466/H466</f>
        <v>0.224957707</v>
      </c>
      <c r="J466" s="146">
        <v>7.0</v>
      </c>
      <c r="K466" s="147">
        <f>F466/J466</f>
        <v>0.224957707</v>
      </c>
      <c r="L466" s="24">
        <f>J466-F466</f>
        <v>5.425296051</v>
      </c>
    </row>
    <row r="467">
      <c r="B467" s="77"/>
      <c r="J467" s="24"/>
    </row>
    <row r="468">
      <c r="A468" s="78" t="s">
        <v>325</v>
      </c>
      <c r="B468" s="78" t="s">
        <v>571</v>
      </c>
      <c r="D468" s="76" t="s">
        <v>34</v>
      </c>
      <c r="J468" s="24"/>
    </row>
    <row r="469">
      <c r="A469" s="22" t="s">
        <v>329</v>
      </c>
      <c r="B469" s="22">
        <v>1.0</v>
      </c>
      <c r="J469" s="24"/>
    </row>
    <row r="470">
      <c r="B470" s="77"/>
      <c r="J470" s="24"/>
    </row>
    <row r="471">
      <c r="A471" s="81" t="s">
        <v>332</v>
      </c>
      <c r="B471" s="82" t="s">
        <v>333</v>
      </c>
      <c r="C471" s="83"/>
      <c r="D471" s="82" t="s">
        <v>334</v>
      </c>
      <c r="E471" s="83"/>
      <c r="F471" s="81" t="s">
        <v>335</v>
      </c>
      <c r="J471" s="24"/>
    </row>
    <row r="472">
      <c r="A472" s="84" t="s">
        <v>571</v>
      </c>
      <c r="J472" s="24"/>
    </row>
    <row r="473">
      <c r="A473" s="6" t="s">
        <v>420</v>
      </c>
      <c r="B473" s="6">
        <v>8.0</v>
      </c>
      <c r="C473" s="6" t="s">
        <v>340</v>
      </c>
      <c r="D473" s="24">
        <f>D456</f>
        <v>0.10390625</v>
      </c>
      <c r="E473" s="6" t="s">
        <v>340</v>
      </c>
      <c r="F473" s="24">
        <f t="shared" ref="F473:F475" si="46">B473*D473</f>
        <v>0.83125</v>
      </c>
      <c r="J473" s="24"/>
    </row>
    <row r="474">
      <c r="A474" s="6" t="s">
        <v>421</v>
      </c>
      <c r="B474" s="38">
        <v>2.0</v>
      </c>
      <c r="C474" s="6" t="s">
        <v>398</v>
      </c>
      <c r="D474" s="60">
        <f>'Full Inventory Cost'!M59</f>
        <v>0.1792588496</v>
      </c>
      <c r="E474" s="6" t="s">
        <v>398</v>
      </c>
      <c r="F474" s="24">
        <f t="shared" si="46"/>
        <v>0.3585176991</v>
      </c>
      <c r="J474" s="24"/>
    </row>
    <row r="475">
      <c r="A475" s="6" t="s">
        <v>572</v>
      </c>
      <c r="B475" s="6">
        <v>1.0</v>
      </c>
      <c r="C475" s="6" t="s">
        <v>343</v>
      </c>
      <c r="D475" s="24">
        <f>'Full Inventory Cost'!K27</f>
        <v>0.08081081081</v>
      </c>
      <c r="E475" s="6" t="s">
        <v>343</v>
      </c>
      <c r="F475" s="24">
        <f t="shared" si="46"/>
        <v>0.08081081081</v>
      </c>
      <c r="J475" s="24"/>
    </row>
    <row r="476">
      <c r="J476" s="24"/>
    </row>
    <row r="477">
      <c r="A477" s="84" t="s">
        <v>341</v>
      </c>
      <c r="J477" s="24"/>
    </row>
    <row r="478">
      <c r="A478" s="6" t="s">
        <v>573</v>
      </c>
      <c r="B478" s="38">
        <v>1.0</v>
      </c>
      <c r="C478" s="6" t="s">
        <v>343</v>
      </c>
      <c r="D478" s="24">
        <f>'Full Inventory Cost'!K166</f>
        <v>0.14796</v>
      </c>
      <c r="E478" s="6" t="s">
        <v>343</v>
      </c>
      <c r="F478" s="24">
        <f t="shared" ref="F478:F480" si="47">B478*D478</f>
        <v>0.14796</v>
      </c>
      <c r="J478" s="24"/>
    </row>
    <row r="479">
      <c r="A479" s="6" t="s">
        <v>574</v>
      </c>
      <c r="B479" s="38">
        <v>1.0</v>
      </c>
      <c r="C479" s="6" t="s">
        <v>343</v>
      </c>
      <c r="D479" s="24">
        <f>'Full Inventory Cost'!K172</f>
        <v>0.02149</v>
      </c>
      <c r="E479" s="6" t="s">
        <v>343</v>
      </c>
      <c r="F479" s="24">
        <f t="shared" si="47"/>
        <v>0.02149</v>
      </c>
      <c r="J479" s="24"/>
    </row>
    <row r="480">
      <c r="A480" s="6" t="s">
        <v>441</v>
      </c>
      <c r="B480" s="38">
        <v>2.0</v>
      </c>
      <c r="C480" s="6" t="s">
        <v>343</v>
      </c>
      <c r="D480" s="24">
        <f>D499</f>
        <v>0.00727</v>
      </c>
      <c r="E480" s="6" t="s">
        <v>343</v>
      </c>
      <c r="F480" s="24">
        <f t="shared" si="47"/>
        <v>0.01454</v>
      </c>
      <c r="J480" s="24"/>
    </row>
    <row r="481">
      <c r="B481" s="38"/>
      <c r="J481" s="24"/>
    </row>
    <row r="482">
      <c r="B482" s="77"/>
      <c r="J482" s="24"/>
    </row>
    <row r="483">
      <c r="B483" s="77"/>
      <c r="E483" s="89" t="s">
        <v>347</v>
      </c>
      <c r="F483" s="90">
        <f>SUM(F472:F481)</f>
        <v>1.45456851</v>
      </c>
      <c r="G483" s="91" t="s">
        <v>348</v>
      </c>
      <c r="H483" s="91" t="s">
        <v>376</v>
      </c>
      <c r="I483" s="91" t="s">
        <v>350</v>
      </c>
      <c r="J483" s="143" t="s">
        <v>351</v>
      </c>
      <c r="K483" s="91" t="s">
        <v>352</v>
      </c>
    </row>
    <row r="484">
      <c r="B484" s="77"/>
      <c r="E484" s="92" t="s">
        <v>334</v>
      </c>
      <c r="F484" s="93">
        <f>F483/B469</f>
        <v>1.45456851</v>
      </c>
      <c r="G484" s="24">
        <f>F484*5</f>
        <v>7.27284255</v>
      </c>
      <c r="H484" s="21">
        <v>7.0</v>
      </c>
      <c r="I484" s="95">
        <f>F484/H484</f>
        <v>0.2077955014</v>
      </c>
      <c r="J484" s="144">
        <v>7.0</v>
      </c>
      <c r="K484" s="96">
        <f>F484/J484</f>
        <v>0.2077955014</v>
      </c>
      <c r="L484" s="24">
        <f>J484-F484</f>
        <v>5.54543149</v>
      </c>
    </row>
    <row r="485">
      <c r="B485" s="77"/>
      <c r="J485" s="24"/>
    </row>
    <row r="486">
      <c r="A486" s="78" t="s">
        <v>325</v>
      </c>
      <c r="B486" s="78" t="s">
        <v>575</v>
      </c>
      <c r="D486" s="76"/>
      <c r="J486" s="24"/>
    </row>
    <row r="487">
      <c r="A487" s="22" t="s">
        <v>329</v>
      </c>
      <c r="B487" s="22">
        <v>1.0</v>
      </c>
      <c r="J487" s="24"/>
    </row>
    <row r="488">
      <c r="B488" s="77"/>
      <c r="J488" s="24"/>
    </row>
    <row r="489">
      <c r="A489" s="81" t="s">
        <v>332</v>
      </c>
      <c r="B489" s="82" t="s">
        <v>333</v>
      </c>
      <c r="C489" s="83"/>
      <c r="D489" s="82" t="s">
        <v>334</v>
      </c>
      <c r="E489" s="83"/>
      <c r="F489" s="81" t="s">
        <v>335</v>
      </c>
      <c r="J489" s="24"/>
    </row>
    <row r="490">
      <c r="A490" s="84" t="s">
        <v>558</v>
      </c>
      <c r="J490" s="24"/>
    </row>
    <row r="491">
      <c r="A491" s="6" t="s">
        <v>366</v>
      </c>
      <c r="B491" s="38">
        <v>4.5</v>
      </c>
      <c r="C491" s="6" t="s">
        <v>340</v>
      </c>
      <c r="D491" s="21">
        <f>'Full Inventory Cost'!K17</f>
        <v>0.1933333333</v>
      </c>
      <c r="E491" s="6" t="s">
        <v>340</v>
      </c>
      <c r="F491" s="24">
        <f t="shared" ref="F491:F494" si="48">B491*D491</f>
        <v>0.87</v>
      </c>
      <c r="J491" s="24"/>
    </row>
    <row r="492">
      <c r="A492" s="6" t="s">
        <v>497</v>
      </c>
      <c r="B492" s="6">
        <v>2.0</v>
      </c>
      <c r="C492" s="6" t="s">
        <v>576</v>
      </c>
      <c r="D492" s="14">
        <f>'Full Inventory Cost'!M124</f>
        <v>0</v>
      </c>
      <c r="E492" s="6" t="s">
        <v>576</v>
      </c>
      <c r="F492" s="24">
        <f t="shared" si="48"/>
        <v>0</v>
      </c>
      <c r="J492" s="24"/>
    </row>
    <row r="493">
      <c r="A493" s="6" t="s">
        <v>577</v>
      </c>
      <c r="B493" s="6">
        <v>2.0</v>
      </c>
      <c r="C493" s="6" t="s">
        <v>576</v>
      </c>
      <c r="D493" s="105" t="str">
        <f>#REF!</f>
        <v>#REF!</v>
      </c>
      <c r="E493" s="6" t="s">
        <v>576</v>
      </c>
      <c r="F493" s="105" t="str">
        <f t="shared" si="48"/>
        <v>#REF!</v>
      </c>
      <c r="J493" s="24"/>
    </row>
    <row r="494">
      <c r="A494" s="6" t="s">
        <v>561</v>
      </c>
      <c r="B494" s="6">
        <v>2.0</v>
      </c>
      <c r="C494" s="6" t="s">
        <v>340</v>
      </c>
      <c r="D494" s="24">
        <f>D418</f>
        <v>0</v>
      </c>
      <c r="E494" s="6" t="s">
        <v>340</v>
      </c>
      <c r="F494" s="24">
        <f t="shared" si="48"/>
        <v>0</v>
      </c>
      <c r="J494" s="24"/>
    </row>
    <row r="495">
      <c r="J495" s="24"/>
    </row>
    <row r="496">
      <c r="J496" s="24"/>
    </row>
    <row r="497">
      <c r="A497" s="84" t="s">
        <v>341</v>
      </c>
      <c r="J497" s="24"/>
    </row>
    <row r="498">
      <c r="A498" s="6" t="s">
        <v>564</v>
      </c>
      <c r="B498" s="38">
        <v>1.0</v>
      </c>
      <c r="C498" s="6" t="s">
        <v>343</v>
      </c>
      <c r="D498" s="24">
        <f t="shared" ref="D498:D501" si="49">D423</f>
        <v>0.2989</v>
      </c>
      <c r="E498" s="6" t="s">
        <v>343</v>
      </c>
      <c r="F498" s="24">
        <f t="shared" ref="F498:F501" si="50">B498*D498</f>
        <v>0.2989</v>
      </c>
      <c r="J498" s="24"/>
    </row>
    <row r="499">
      <c r="A499" s="6" t="s">
        <v>565</v>
      </c>
      <c r="B499" s="38">
        <v>2.0</v>
      </c>
      <c r="C499" s="6" t="s">
        <v>343</v>
      </c>
      <c r="D499" s="24">
        <f t="shared" si="49"/>
        <v>0.00727</v>
      </c>
      <c r="E499" s="6" t="s">
        <v>343</v>
      </c>
      <c r="F499" s="24">
        <f t="shared" si="50"/>
        <v>0.01454</v>
      </c>
      <c r="J499" s="24"/>
    </row>
    <row r="500">
      <c r="A500" s="6" t="s">
        <v>513</v>
      </c>
      <c r="B500" s="38">
        <v>1.0</v>
      </c>
      <c r="C500" s="6" t="s">
        <v>343</v>
      </c>
      <c r="D500" s="24">
        <f t="shared" si="49"/>
        <v>0.02149</v>
      </c>
      <c r="E500" s="6" t="s">
        <v>343</v>
      </c>
      <c r="F500" s="24">
        <f t="shared" si="50"/>
        <v>0.02149</v>
      </c>
      <c r="J500" s="24"/>
    </row>
    <row r="501">
      <c r="A501" s="6" t="s">
        <v>566</v>
      </c>
      <c r="B501" s="38">
        <v>1.0</v>
      </c>
      <c r="C501" s="6" t="s">
        <v>343</v>
      </c>
      <c r="D501" s="24">
        <f t="shared" si="49"/>
        <v>0.01214</v>
      </c>
      <c r="E501" s="6" t="s">
        <v>343</v>
      </c>
      <c r="F501" s="24">
        <f t="shared" si="50"/>
        <v>0.01214</v>
      </c>
      <c r="J501" s="24"/>
    </row>
    <row r="502">
      <c r="B502" s="77"/>
      <c r="J502" s="24"/>
    </row>
    <row r="503">
      <c r="B503" s="77"/>
      <c r="E503" s="89" t="s">
        <v>347</v>
      </c>
      <c r="F503" s="90" t="str">
        <f>SUM(F490:F501)</f>
        <v>#REF!</v>
      </c>
      <c r="G503" s="91" t="s">
        <v>348</v>
      </c>
      <c r="H503" s="91" t="s">
        <v>376</v>
      </c>
      <c r="I503" s="91" t="s">
        <v>350</v>
      </c>
      <c r="J503" s="143" t="s">
        <v>351</v>
      </c>
      <c r="K503" s="91" t="s">
        <v>352</v>
      </c>
    </row>
    <row r="504">
      <c r="B504" s="77"/>
      <c r="E504" s="92" t="s">
        <v>334</v>
      </c>
      <c r="F504" s="152" t="str">
        <f>F503/B487</f>
        <v>#REF!</v>
      </c>
      <c r="G504" s="24" t="str">
        <f>F504*5</f>
        <v>#REF!</v>
      </c>
      <c r="H504" s="21">
        <v>9.0</v>
      </c>
      <c r="I504" s="95" t="str">
        <f>F504/H504</f>
        <v>#REF!</v>
      </c>
      <c r="J504" s="144">
        <v>10.0</v>
      </c>
      <c r="K504" s="96" t="str">
        <f>F504/J504</f>
        <v>#REF!</v>
      </c>
    </row>
    <row r="505">
      <c r="B505" s="77"/>
      <c r="J505" s="24"/>
    </row>
    <row r="506">
      <c r="B506" s="77"/>
      <c r="J506" s="24"/>
    </row>
    <row r="507">
      <c r="A507" s="78" t="s">
        <v>325</v>
      </c>
      <c r="B507" s="78" t="s">
        <v>519</v>
      </c>
      <c r="C507" s="136"/>
      <c r="J507" s="24"/>
    </row>
    <row r="508">
      <c r="A508" s="22" t="s">
        <v>329</v>
      </c>
      <c r="B508" s="22">
        <v>5.0</v>
      </c>
      <c r="J508" s="24"/>
    </row>
    <row r="509">
      <c r="B509" s="77"/>
      <c r="J509" s="24"/>
    </row>
    <row r="510">
      <c r="A510" s="81" t="s">
        <v>332</v>
      </c>
      <c r="B510" s="82" t="s">
        <v>333</v>
      </c>
      <c r="C510" s="83"/>
      <c r="D510" s="82" t="s">
        <v>334</v>
      </c>
      <c r="E510" s="83"/>
      <c r="F510" s="81" t="s">
        <v>335</v>
      </c>
      <c r="J510" s="24"/>
    </row>
    <row r="511">
      <c r="A511" s="84" t="s">
        <v>519</v>
      </c>
      <c r="B511" s="38"/>
      <c r="C511" s="6"/>
      <c r="E511" s="6"/>
      <c r="J511" s="24"/>
    </row>
    <row r="512">
      <c r="A512" s="6" t="s">
        <v>531</v>
      </c>
      <c r="B512" s="38">
        <v>10.0</v>
      </c>
      <c r="C512" s="6" t="s">
        <v>340</v>
      </c>
      <c r="D512" s="6">
        <v>0.01</v>
      </c>
      <c r="E512" s="6" t="s">
        <v>340</v>
      </c>
      <c r="F512" s="14">
        <f t="shared" ref="F512:F513" si="51">B512*D512</f>
        <v>0.1</v>
      </c>
      <c r="J512" s="24"/>
    </row>
    <row r="513">
      <c r="A513" s="6" t="s">
        <v>506</v>
      </c>
      <c r="B513" s="38">
        <v>1.0</v>
      </c>
      <c r="C513" s="6" t="s">
        <v>340</v>
      </c>
      <c r="D513" s="24">
        <f>'Full Inventory Cost'!K113</f>
        <v>0.05723958333</v>
      </c>
      <c r="E513" s="6" t="s">
        <v>340</v>
      </c>
      <c r="F513" s="24">
        <f t="shared" si="51"/>
        <v>0.05723958333</v>
      </c>
      <c r="J513" s="24"/>
    </row>
    <row r="514">
      <c r="B514" s="38"/>
      <c r="F514" s="24"/>
      <c r="J514" s="24"/>
    </row>
    <row r="515">
      <c r="E515" s="89" t="s">
        <v>347</v>
      </c>
      <c r="F515" s="90">
        <f>SUM(F511:F513)</f>
        <v>0.1572395833</v>
      </c>
      <c r="J515" s="24"/>
    </row>
    <row r="516">
      <c r="E516" s="92" t="s">
        <v>578</v>
      </c>
      <c r="F516" s="93">
        <f>F515/B508</f>
        <v>0.03144791667</v>
      </c>
      <c r="J516" s="24"/>
    </row>
    <row r="517">
      <c r="A517" s="77"/>
      <c r="B517" s="77"/>
      <c r="J517" s="24"/>
    </row>
    <row r="518">
      <c r="A518" s="77"/>
      <c r="B518" s="77"/>
      <c r="J518" s="24"/>
    </row>
    <row r="519">
      <c r="B519" s="38"/>
      <c r="F519" s="24"/>
      <c r="J519" s="24"/>
    </row>
    <row r="520">
      <c r="A520" s="78" t="s">
        <v>325</v>
      </c>
      <c r="B520" s="78" t="s">
        <v>422</v>
      </c>
      <c r="D520" s="76" t="s">
        <v>327</v>
      </c>
      <c r="J520" s="24"/>
    </row>
    <row r="521">
      <c r="A521" s="22" t="s">
        <v>329</v>
      </c>
      <c r="B521" s="22">
        <v>1.0</v>
      </c>
      <c r="J521" s="24"/>
    </row>
    <row r="522">
      <c r="B522" s="77"/>
      <c r="J522" s="24"/>
    </row>
    <row r="523">
      <c r="A523" s="81" t="s">
        <v>332</v>
      </c>
      <c r="B523" s="82" t="s">
        <v>333</v>
      </c>
      <c r="C523" s="83"/>
      <c r="D523" s="82" t="s">
        <v>334</v>
      </c>
      <c r="E523" s="83"/>
      <c r="F523" s="81" t="s">
        <v>335</v>
      </c>
      <c r="J523" s="24"/>
    </row>
    <row r="524">
      <c r="A524" s="84" t="s">
        <v>383</v>
      </c>
      <c r="J524" s="24"/>
    </row>
    <row r="525">
      <c r="A525" s="6" t="s">
        <v>389</v>
      </c>
      <c r="B525" s="38">
        <v>1.0</v>
      </c>
      <c r="C525" s="6" t="s">
        <v>343</v>
      </c>
      <c r="D525" s="21">
        <v>0.34</v>
      </c>
      <c r="E525" s="6" t="s">
        <v>343</v>
      </c>
      <c r="F525" s="24">
        <f t="shared" ref="F525:F527" si="52">B525*D525</f>
        <v>0.34</v>
      </c>
      <c r="J525" s="24"/>
    </row>
    <row r="526">
      <c r="A526" s="6" t="s">
        <v>339</v>
      </c>
      <c r="B526" s="38">
        <v>10.0</v>
      </c>
      <c r="C526" s="6" t="s">
        <v>340</v>
      </c>
      <c r="D526" s="24">
        <f>'Full Inventory Cost'!K20</f>
        <v>0.03109375</v>
      </c>
      <c r="E526" s="6" t="s">
        <v>340</v>
      </c>
      <c r="F526" s="24">
        <f t="shared" si="52"/>
        <v>0.3109375</v>
      </c>
      <c r="J526" s="24"/>
    </row>
    <row r="527">
      <c r="A527" s="6" t="s">
        <v>423</v>
      </c>
      <c r="B527" s="6">
        <v>0.5</v>
      </c>
      <c r="C527" s="6" t="s">
        <v>340</v>
      </c>
      <c r="D527" s="24">
        <f>'Full Inventory Cost'!K50</f>
        <v>0.352</v>
      </c>
      <c r="E527" s="6" t="s">
        <v>340</v>
      </c>
      <c r="F527" s="24">
        <f t="shared" si="52"/>
        <v>0.176</v>
      </c>
      <c r="J527" s="24"/>
    </row>
    <row r="528">
      <c r="A528" s="6"/>
      <c r="B528" s="6"/>
      <c r="C528" s="6"/>
      <c r="D528" s="24"/>
      <c r="E528" s="6"/>
      <c r="F528" s="24"/>
      <c r="J528" s="24"/>
    </row>
    <row r="529">
      <c r="A529" s="84" t="s">
        <v>341</v>
      </c>
      <c r="J529" s="24"/>
    </row>
    <row r="530">
      <c r="A530" s="6" t="s">
        <v>342</v>
      </c>
      <c r="B530" s="38">
        <v>1.0</v>
      </c>
      <c r="C530" s="6" t="s">
        <v>343</v>
      </c>
      <c r="D530" s="24">
        <f>'Full Inventory Cost'!K147</f>
        <v>0.0972</v>
      </c>
      <c r="E530" s="6" t="s">
        <v>343</v>
      </c>
      <c r="F530" s="24">
        <f t="shared" ref="F530:F533" si="53">B530*D530</f>
        <v>0.0972</v>
      </c>
      <c r="J530" s="24"/>
    </row>
    <row r="531">
      <c r="A531" s="6" t="s">
        <v>344</v>
      </c>
      <c r="B531" s="38">
        <v>1.0</v>
      </c>
      <c r="C531" s="6" t="s">
        <v>343</v>
      </c>
      <c r="D531" s="24">
        <f>'Full Inventory Cost'!K151</f>
        <v>0.05099</v>
      </c>
      <c r="E531" s="6" t="s">
        <v>343</v>
      </c>
      <c r="F531" s="24">
        <f t="shared" si="53"/>
        <v>0.05099</v>
      </c>
      <c r="J531" s="24"/>
    </row>
    <row r="532">
      <c r="A532" s="6" t="s">
        <v>345</v>
      </c>
      <c r="B532" s="38">
        <v>1.0</v>
      </c>
      <c r="C532" s="6" t="s">
        <v>343</v>
      </c>
      <c r="D532" s="24">
        <f>'Full Inventory Cost'!K154</f>
        <v>0.01909</v>
      </c>
      <c r="E532" s="6" t="s">
        <v>343</v>
      </c>
      <c r="F532" s="24">
        <f t="shared" si="53"/>
        <v>0.01909</v>
      </c>
      <c r="J532" s="24"/>
    </row>
    <row r="533">
      <c r="A533" s="6" t="s">
        <v>346</v>
      </c>
      <c r="B533" s="38">
        <v>1.0</v>
      </c>
      <c r="C533" s="6" t="s">
        <v>343</v>
      </c>
      <c r="D533" s="24">
        <f>'Full Inventory Cost'!K173</f>
        <v>0.04959</v>
      </c>
      <c r="E533" s="6" t="s">
        <v>343</v>
      </c>
      <c r="F533" s="24">
        <f t="shared" si="53"/>
        <v>0.04959</v>
      </c>
      <c r="J533" s="24"/>
    </row>
    <row r="534">
      <c r="B534" s="77"/>
      <c r="J534" s="24"/>
    </row>
    <row r="535">
      <c r="B535" s="77"/>
      <c r="E535" s="89" t="s">
        <v>347</v>
      </c>
      <c r="F535" s="90">
        <f>SUM(F524:F532)</f>
        <v>0.9942175</v>
      </c>
      <c r="G535" s="91" t="s">
        <v>348</v>
      </c>
      <c r="H535" s="91" t="s">
        <v>376</v>
      </c>
      <c r="I535" s="91" t="s">
        <v>350</v>
      </c>
      <c r="J535" s="143" t="s">
        <v>351</v>
      </c>
      <c r="K535" s="91" t="s">
        <v>352</v>
      </c>
    </row>
    <row r="536">
      <c r="B536" s="77"/>
      <c r="E536" s="92" t="s">
        <v>334</v>
      </c>
      <c r="F536" s="93">
        <f>F535/B521</f>
        <v>0.9942175</v>
      </c>
      <c r="G536" s="24">
        <f>F536*5</f>
        <v>4.9710875</v>
      </c>
      <c r="H536" s="21">
        <v>4.5</v>
      </c>
      <c r="I536" s="95">
        <f>F536/H536</f>
        <v>0.2209372222</v>
      </c>
      <c r="J536" s="144">
        <v>4.75</v>
      </c>
      <c r="K536" s="96">
        <f>F536/J536</f>
        <v>0.2093089474</v>
      </c>
      <c r="L536" s="24">
        <f>J536-F536</f>
        <v>3.7557825</v>
      </c>
    </row>
    <row r="537">
      <c r="B537" s="77"/>
      <c r="J537" s="24"/>
    </row>
    <row r="538">
      <c r="B538" s="77"/>
      <c r="J538" s="24"/>
    </row>
    <row r="539">
      <c r="A539" s="78" t="s">
        <v>325</v>
      </c>
      <c r="B539" s="78" t="s">
        <v>424</v>
      </c>
      <c r="D539" s="76" t="s">
        <v>354</v>
      </c>
      <c r="J539" s="24"/>
    </row>
    <row r="540">
      <c r="A540" s="22" t="s">
        <v>329</v>
      </c>
      <c r="B540" s="22">
        <v>1.0</v>
      </c>
      <c r="J540" s="24"/>
    </row>
    <row r="541">
      <c r="B541" s="77"/>
      <c r="J541" s="24"/>
    </row>
    <row r="542">
      <c r="A542" s="81" t="s">
        <v>332</v>
      </c>
      <c r="B542" s="82" t="s">
        <v>333</v>
      </c>
      <c r="C542" s="83"/>
      <c r="D542" s="82" t="s">
        <v>334</v>
      </c>
      <c r="E542" s="83"/>
      <c r="F542" s="81" t="s">
        <v>335</v>
      </c>
      <c r="J542" s="24"/>
    </row>
    <row r="543">
      <c r="A543" s="84" t="s">
        <v>383</v>
      </c>
      <c r="J543" s="24"/>
    </row>
    <row r="544">
      <c r="A544" s="6" t="s">
        <v>389</v>
      </c>
      <c r="B544" s="38">
        <v>2.0</v>
      </c>
      <c r="C544" s="6" t="s">
        <v>343</v>
      </c>
      <c r="D544" s="21">
        <v>0.34</v>
      </c>
      <c r="E544" s="6" t="s">
        <v>343</v>
      </c>
      <c r="F544" s="24">
        <f t="shared" ref="F544:F546" si="54">B544*D544</f>
        <v>0.68</v>
      </c>
      <c r="J544" s="24"/>
    </row>
    <row r="545">
      <c r="A545" s="6" t="s">
        <v>339</v>
      </c>
      <c r="B545" s="38">
        <v>14.0</v>
      </c>
      <c r="C545" s="6" t="s">
        <v>340</v>
      </c>
      <c r="D545" s="24">
        <f>'Full Inventory Cost'!K20</f>
        <v>0.03109375</v>
      </c>
      <c r="E545" s="6" t="s">
        <v>340</v>
      </c>
      <c r="F545" s="24">
        <f t="shared" si="54"/>
        <v>0.4353125</v>
      </c>
      <c r="J545" s="24"/>
    </row>
    <row r="546">
      <c r="A546" s="6" t="s">
        <v>423</v>
      </c>
      <c r="B546" s="6">
        <v>1.0</v>
      </c>
      <c r="C546" s="6" t="s">
        <v>340</v>
      </c>
      <c r="D546" s="24">
        <f>'Full Inventory Cost'!K50</f>
        <v>0.352</v>
      </c>
      <c r="E546" s="6" t="s">
        <v>340</v>
      </c>
      <c r="F546" s="24">
        <f t="shared" si="54"/>
        <v>0.352</v>
      </c>
      <c r="J546" s="24"/>
    </row>
    <row r="547">
      <c r="A547" s="6"/>
      <c r="B547" s="6"/>
      <c r="C547" s="6"/>
      <c r="D547" s="24"/>
      <c r="E547" s="6"/>
      <c r="F547" s="24"/>
      <c r="J547" s="24"/>
    </row>
    <row r="548">
      <c r="A548" s="84" t="s">
        <v>341</v>
      </c>
      <c r="J548" s="24"/>
    </row>
    <row r="549">
      <c r="A549" s="6" t="s">
        <v>355</v>
      </c>
      <c r="B549" s="38">
        <v>1.0</v>
      </c>
      <c r="C549" s="6" t="s">
        <v>343</v>
      </c>
      <c r="D549" s="24">
        <f>'Full Inventory Cost'!K149</f>
        <v>0.1014333333</v>
      </c>
      <c r="E549" s="6" t="s">
        <v>343</v>
      </c>
      <c r="F549" s="24">
        <f t="shared" ref="F549:F552" si="55">B549*D549</f>
        <v>0.1014333333</v>
      </c>
      <c r="J549" s="24"/>
    </row>
    <row r="550">
      <c r="A550" s="6" t="s">
        <v>344</v>
      </c>
      <c r="B550" s="38">
        <v>1.0</v>
      </c>
      <c r="C550" s="6" t="s">
        <v>343</v>
      </c>
      <c r="D550" s="24">
        <f>'Full Inventory Cost'!K151</f>
        <v>0.05099</v>
      </c>
      <c r="E550" s="6" t="s">
        <v>343</v>
      </c>
      <c r="F550" s="24">
        <f t="shared" si="55"/>
        <v>0.05099</v>
      </c>
      <c r="J550" s="24"/>
    </row>
    <row r="551">
      <c r="A551" s="6" t="s">
        <v>345</v>
      </c>
      <c r="B551" s="38">
        <v>1.0</v>
      </c>
      <c r="C551" s="6" t="s">
        <v>343</v>
      </c>
      <c r="D551" s="24">
        <f>'Full Inventory Cost'!K154</f>
        <v>0.01909</v>
      </c>
      <c r="E551" s="6" t="s">
        <v>343</v>
      </c>
      <c r="F551" s="24">
        <f t="shared" si="55"/>
        <v>0.01909</v>
      </c>
      <c r="J551" s="24"/>
    </row>
    <row r="552">
      <c r="A552" s="6" t="s">
        <v>346</v>
      </c>
      <c r="B552" s="38">
        <v>1.0</v>
      </c>
      <c r="C552" s="6" t="s">
        <v>343</v>
      </c>
      <c r="D552" s="24">
        <f>'Full Inventory Cost'!K173</f>
        <v>0.04959</v>
      </c>
      <c r="E552" s="6" t="s">
        <v>343</v>
      </c>
      <c r="F552" s="24">
        <f t="shared" si="55"/>
        <v>0.04959</v>
      </c>
      <c r="J552" s="24"/>
    </row>
    <row r="553">
      <c r="B553" s="77"/>
      <c r="J553" s="24"/>
    </row>
    <row r="554">
      <c r="B554" s="77"/>
      <c r="E554" s="89" t="s">
        <v>347</v>
      </c>
      <c r="F554" s="90">
        <f>SUM(F543:F551)</f>
        <v>1.638825833</v>
      </c>
      <c r="G554" s="91" t="s">
        <v>348</v>
      </c>
      <c r="H554" s="91" t="s">
        <v>376</v>
      </c>
      <c r="I554" s="91" t="s">
        <v>350</v>
      </c>
      <c r="J554" s="143" t="s">
        <v>351</v>
      </c>
      <c r="K554" s="91" t="s">
        <v>352</v>
      </c>
    </row>
    <row r="555">
      <c r="B555" s="77"/>
      <c r="E555" s="92" t="s">
        <v>334</v>
      </c>
      <c r="F555" s="93">
        <f>F554/B540</f>
        <v>1.638825833</v>
      </c>
      <c r="G555" s="24">
        <f>F555*5</f>
        <v>8.194129167</v>
      </c>
      <c r="H555" s="21">
        <v>6.25</v>
      </c>
      <c r="I555" s="95">
        <f>F555/H555</f>
        <v>0.2622121333</v>
      </c>
      <c r="J555" s="146">
        <v>6.5</v>
      </c>
      <c r="K555" s="147">
        <f>F555/J555</f>
        <v>0.2521270513</v>
      </c>
    </row>
    <row r="556">
      <c r="B556" s="77"/>
      <c r="J556" s="153" t="s">
        <v>425</v>
      </c>
    </row>
    <row r="557">
      <c r="A557" s="78" t="s">
        <v>325</v>
      </c>
      <c r="B557" s="78" t="s">
        <v>426</v>
      </c>
      <c r="D557" s="76" t="s">
        <v>354</v>
      </c>
      <c r="J557" s="24"/>
    </row>
    <row r="558">
      <c r="A558" s="22" t="s">
        <v>329</v>
      </c>
      <c r="B558" s="22">
        <v>1.0</v>
      </c>
      <c r="J558" s="24"/>
    </row>
    <row r="559">
      <c r="B559" s="77"/>
      <c r="J559" s="24"/>
    </row>
    <row r="560">
      <c r="A560" s="81" t="s">
        <v>332</v>
      </c>
      <c r="B560" s="82" t="s">
        <v>333</v>
      </c>
      <c r="C560" s="83"/>
      <c r="D560" s="82" t="s">
        <v>334</v>
      </c>
      <c r="E560" s="83"/>
      <c r="F560" s="81" t="s">
        <v>335</v>
      </c>
      <c r="J560" s="24"/>
    </row>
    <row r="561">
      <c r="A561" s="84" t="s">
        <v>383</v>
      </c>
      <c r="J561" s="24"/>
    </row>
    <row r="562">
      <c r="A562" s="6" t="s">
        <v>427</v>
      </c>
      <c r="B562" s="38">
        <v>0.75</v>
      </c>
      <c r="C562" s="6" t="s">
        <v>343</v>
      </c>
      <c r="D562" s="21">
        <v>1.5</v>
      </c>
      <c r="E562" s="6" t="s">
        <v>343</v>
      </c>
      <c r="F562" s="24">
        <f t="shared" ref="F562:F563" si="56">B562*D562</f>
        <v>1.125</v>
      </c>
      <c r="J562" s="24"/>
    </row>
    <row r="563">
      <c r="A563" s="6" t="s">
        <v>428</v>
      </c>
      <c r="B563" s="38">
        <v>2.0</v>
      </c>
      <c r="C563" s="6" t="s">
        <v>363</v>
      </c>
      <c r="D563" s="134">
        <f>'Full Inventory Cost'!O66</f>
        <v>0.003789198222</v>
      </c>
      <c r="E563" s="6" t="s">
        <v>363</v>
      </c>
      <c r="F563" s="24">
        <f t="shared" si="56"/>
        <v>0.007578396444</v>
      </c>
      <c r="J563" s="24"/>
    </row>
    <row r="564">
      <c r="D564" s="24"/>
      <c r="F564" s="24"/>
      <c r="J564" s="24"/>
    </row>
    <row r="565">
      <c r="A565" s="6"/>
      <c r="B565" s="6"/>
      <c r="C565" s="6"/>
      <c r="D565" s="24"/>
      <c r="E565" s="6"/>
      <c r="F565" s="24"/>
      <c r="J565" s="24"/>
    </row>
    <row r="566">
      <c r="A566" s="84" t="s">
        <v>341</v>
      </c>
      <c r="J566" s="24"/>
    </row>
    <row r="567">
      <c r="A567" s="6" t="s">
        <v>355</v>
      </c>
      <c r="B567" s="38">
        <v>1.0</v>
      </c>
      <c r="C567" s="6" t="s">
        <v>343</v>
      </c>
      <c r="D567" s="24">
        <f t="shared" ref="D567:D570" si="57">D549</f>
        <v>0.1014333333</v>
      </c>
      <c r="E567" s="6" t="s">
        <v>343</v>
      </c>
      <c r="F567" s="24">
        <f t="shared" ref="F567:F570" si="58">B567*D567</f>
        <v>0.1014333333</v>
      </c>
      <c r="J567" s="24"/>
    </row>
    <row r="568">
      <c r="A568" s="6" t="s">
        <v>344</v>
      </c>
      <c r="B568" s="38">
        <v>1.0</v>
      </c>
      <c r="C568" s="6" t="s">
        <v>343</v>
      </c>
      <c r="D568" s="24">
        <f t="shared" si="57"/>
        <v>0.05099</v>
      </c>
      <c r="E568" s="6" t="s">
        <v>343</v>
      </c>
      <c r="F568" s="24">
        <f t="shared" si="58"/>
        <v>0.05099</v>
      </c>
      <c r="J568" s="24"/>
    </row>
    <row r="569">
      <c r="A569" s="6" t="s">
        <v>345</v>
      </c>
      <c r="B569" s="38">
        <v>1.0</v>
      </c>
      <c r="C569" s="6" t="s">
        <v>343</v>
      </c>
      <c r="D569" s="24">
        <f t="shared" si="57"/>
        <v>0.01909</v>
      </c>
      <c r="E569" s="6" t="s">
        <v>343</v>
      </c>
      <c r="F569" s="24">
        <f t="shared" si="58"/>
        <v>0.01909</v>
      </c>
      <c r="J569" s="24"/>
    </row>
    <row r="570">
      <c r="A570" s="6" t="s">
        <v>346</v>
      </c>
      <c r="B570" s="38">
        <v>1.0</v>
      </c>
      <c r="C570" s="6" t="s">
        <v>343</v>
      </c>
      <c r="D570" s="24">
        <f t="shared" si="57"/>
        <v>0.04959</v>
      </c>
      <c r="E570" s="6" t="s">
        <v>343</v>
      </c>
      <c r="F570" s="24">
        <f t="shared" si="58"/>
        <v>0.04959</v>
      </c>
      <c r="J570" s="24"/>
    </row>
    <row r="571">
      <c r="B571" s="77"/>
      <c r="J571" s="24"/>
    </row>
    <row r="572">
      <c r="B572" s="77"/>
      <c r="E572" s="89" t="s">
        <v>347</v>
      </c>
      <c r="F572" s="90">
        <f>SUM(F561:F569)</f>
        <v>1.30409173</v>
      </c>
      <c r="G572" s="91" t="s">
        <v>348</v>
      </c>
      <c r="H572" s="91" t="s">
        <v>376</v>
      </c>
      <c r="I572" s="91" t="s">
        <v>350</v>
      </c>
      <c r="J572" s="143" t="s">
        <v>351</v>
      </c>
      <c r="K572" s="91" t="s">
        <v>352</v>
      </c>
    </row>
    <row r="573">
      <c r="B573" s="77"/>
      <c r="E573" s="92" t="s">
        <v>334</v>
      </c>
      <c r="F573" s="93">
        <f>F572/B558</f>
        <v>1.30409173</v>
      </c>
      <c r="G573" s="24">
        <f>F573*5</f>
        <v>6.520458649</v>
      </c>
      <c r="H573" s="21">
        <v>6.25</v>
      </c>
      <c r="I573" s="95">
        <f>F573/H573</f>
        <v>0.2086546768</v>
      </c>
      <c r="J573" s="144">
        <v>6.75</v>
      </c>
      <c r="K573" s="96">
        <f>F573/J573</f>
        <v>0.1931987748</v>
      </c>
    </row>
    <row r="574">
      <c r="B574" s="77"/>
      <c r="J574" s="24"/>
    </row>
    <row r="575">
      <c r="B575" s="77"/>
      <c r="J575" s="24"/>
    </row>
    <row r="576">
      <c r="A576" s="78" t="s">
        <v>325</v>
      </c>
      <c r="B576" s="78" t="s">
        <v>429</v>
      </c>
      <c r="D576" s="76" t="s">
        <v>378</v>
      </c>
      <c r="J576" s="24"/>
    </row>
    <row r="577">
      <c r="A577" s="22" t="s">
        <v>329</v>
      </c>
      <c r="B577" s="22">
        <v>1.0</v>
      </c>
      <c r="J577" s="24"/>
    </row>
    <row r="578">
      <c r="B578" s="77"/>
      <c r="J578" s="24"/>
    </row>
    <row r="579">
      <c r="A579" s="81" t="s">
        <v>332</v>
      </c>
      <c r="B579" s="82" t="s">
        <v>333</v>
      </c>
      <c r="C579" s="83"/>
      <c r="D579" s="82" t="s">
        <v>334</v>
      </c>
      <c r="E579" s="83"/>
      <c r="F579" s="81" t="s">
        <v>335</v>
      </c>
      <c r="J579" s="24"/>
    </row>
    <row r="580">
      <c r="A580" s="84" t="s">
        <v>383</v>
      </c>
      <c r="J580" s="24"/>
    </row>
    <row r="581">
      <c r="A581" s="6" t="s">
        <v>430</v>
      </c>
      <c r="B581" s="38">
        <v>1.0</v>
      </c>
      <c r="C581" s="6" t="s">
        <v>343</v>
      </c>
      <c r="D581" s="21">
        <v>0.5</v>
      </c>
      <c r="E581" s="6" t="s">
        <v>343</v>
      </c>
      <c r="F581" s="24">
        <f t="shared" ref="F581:F585" si="59">B581*D581</f>
        <v>0.5</v>
      </c>
      <c r="J581" s="24"/>
    </row>
    <row r="582">
      <c r="A582" s="6" t="s">
        <v>431</v>
      </c>
      <c r="B582" s="38">
        <v>8.0</v>
      </c>
      <c r="C582" s="6" t="s">
        <v>340</v>
      </c>
      <c r="D582" s="134">
        <f>'Full Inventory Cost'!K20</f>
        <v>0.03109375</v>
      </c>
      <c r="E582" s="6" t="s">
        <v>340</v>
      </c>
      <c r="F582" s="24">
        <f t="shared" si="59"/>
        <v>0.24875</v>
      </c>
      <c r="J582" s="24"/>
    </row>
    <row r="583">
      <c r="A583" s="6" t="s">
        <v>421</v>
      </c>
      <c r="B583" s="6">
        <v>2.0</v>
      </c>
      <c r="C583" s="6" t="s">
        <v>398</v>
      </c>
      <c r="D583" s="60">
        <f>'Full Inventory Cost'!M59</f>
        <v>0.1792588496</v>
      </c>
      <c r="E583" s="6" t="s">
        <v>398</v>
      </c>
      <c r="F583" s="24">
        <f t="shared" si="59"/>
        <v>0.3585176991</v>
      </c>
      <c r="J583" s="24"/>
    </row>
    <row r="584">
      <c r="A584" s="6" t="s">
        <v>432</v>
      </c>
      <c r="B584" s="6">
        <v>0.0</v>
      </c>
      <c r="C584" s="6" t="s">
        <v>398</v>
      </c>
      <c r="D584" s="14">
        <f>D583</f>
        <v>0.1792588496</v>
      </c>
      <c r="E584" s="6" t="s">
        <v>398</v>
      </c>
      <c r="F584" s="24">
        <f t="shared" si="59"/>
        <v>0</v>
      </c>
      <c r="J584" s="24"/>
    </row>
    <row r="585">
      <c r="A585" s="6" t="s">
        <v>433</v>
      </c>
      <c r="B585" s="6">
        <v>1.0</v>
      </c>
      <c r="C585" s="6" t="s">
        <v>343</v>
      </c>
      <c r="D585" s="24">
        <f>'Full Inventory Cost'!K132</f>
        <v>0.07695</v>
      </c>
      <c r="E585" s="6" t="s">
        <v>343</v>
      </c>
      <c r="F585" s="24">
        <f t="shared" si="59"/>
        <v>0.07695</v>
      </c>
      <c r="J585" s="24"/>
    </row>
    <row r="586">
      <c r="A586" s="6"/>
      <c r="B586" s="6"/>
      <c r="C586" s="6"/>
      <c r="D586" s="24"/>
      <c r="E586" s="6"/>
      <c r="F586" s="24"/>
      <c r="J586" s="24"/>
    </row>
    <row r="587">
      <c r="A587" s="84" t="s">
        <v>341</v>
      </c>
      <c r="J587" s="24"/>
    </row>
    <row r="588">
      <c r="A588" s="6" t="s">
        <v>342</v>
      </c>
      <c r="B588" s="38">
        <v>1.0</v>
      </c>
      <c r="C588" s="6" t="s">
        <v>343</v>
      </c>
      <c r="D588" s="24">
        <f>'Full Inventory Cost'!K147</f>
        <v>0.0972</v>
      </c>
      <c r="E588" s="6" t="s">
        <v>343</v>
      </c>
      <c r="F588" s="24">
        <f t="shared" ref="F588:F591" si="60">B588*D588</f>
        <v>0.0972</v>
      </c>
      <c r="J588" s="24"/>
    </row>
    <row r="589">
      <c r="A589" s="6" t="s">
        <v>434</v>
      </c>
      <c r="B589" s="38">
        <v>1.0</v>
      </c>
      <c r="C589" s="6" t="s">
        <v>343</v>
      </c>
      <c r="D589" s="24">
        <f>'Full Inventory Cost'!K152</f>
        <v>0.063</v>
      </c>
      <c r="E589" s="6" t="s">
        <v>343</v>
      </c>
      <c r="F589" s="24">
        <f t="shared" si="60"/>
        <v>0.063</v>
      </c>
      <c r="J589" s="24"/>
    </row>
    <row r="590">
      <c r="A590" s="6" t="s">
        <v>345</v>
      </c>
      <c r="B590" s="38">
        <v>1.0</v>
      </c>
      <c r="C590" s="6" t="s">
        <v>343</v>
      </c>
      <c r="D590" s="24">
        <f>'Full Inventory Cost'!K154</f>
        <v>0.01909</v>
      </c>
      <c r="E590" s="6" t="s">
        <v>343</v>
      </c>
      <c r="F590" s="24">
        <f t="shared" si="60"/>
        <v>0.01909</v>
      </c>
      <c r="J590" s="24"/>
    </row>
    <row r="591">
      <c r="A591" s="6" t="s">
        <v>346</v>
      </c>
      <c r="B591" s="38">
        <v>1.0</v>
      </c>
      <c r="C591" s="6" t="s">
        <v>343</v>
      </c>
      <c r="D591" s="24">
        <f>'Full Inventory Cost'!K173</f>
        <v>0.04959</v>
      </c>
      <c r="E591" s="6" t="s">
        <v>343</v>
      </c>
      <c r="F591" s="24">
        <f t="shared" si="60"/>
        <v>0.04959</v>
      </c>
      <c r="J591" s="24"/>
    </row>
    <row r="592">
      <c r="B592" s="77"/>
      <c r="J592" s="24"/>
    </row>
    <row r="593">
      <c r="B593" s="77"/>
      <c r="E593" s="89" t="s">
        <v>347</v>
      </c>
      <c r="F593" s="90">
        <f>SUM(F580:F590)</f>
        <v>1.363507699</v>
      </c>
      <c r="G593" s="91" t="s">
        <v>348</v>
      </c>
      <c r="H593" s="91" t="s">
        <v>376</v>
      </c>
      <c r="I593" s="91" t="s">
        <v>350</v>
      </c>
      <c r="J593" s="143" t="s">
        <v>351</v>
      </c>
      <c r="K593" s="91" t="s">
        <v>352</v>
      </c>
    </row>
    <row r="594">
      <c r="B594" s="77"/>
      <c r="E594" s="92" t="s">
        <v>334</v>
      </c>
      <c r="F594" s="93">
        <f>F593/B577</f>
        <v>1.363507699</v>
      </c>
      <c r="G594" s="24">
        <f>F594*5</f>
        <v>6.817538496</v>
      </c>
      <c r="H594" s="21">
        <v>5.25</v>
      </c>
      <c r="I594" s="95">
        <f>F594/H594</f>
        <v>0.2597157522</v>
      </c>
      <c r="J594" s="144">
        <v>7.0</v>
      </c>
      <c r="K594" s="96">
        <f>F594/J594</f>
        <v>0.1947868142</v>
      </c>
    </row>
    <row r="595">
      <c r="B595" s="77"/>
      <c r="J595" s="24"/>
    </row>
    <row r="596">
      <c r="B596" s="77"/>
      <c r="J596" s="24"/>
    </row>
    <row r="597">
      <c r="A597" s="78" t="s">
        <v>325</v>
      </c>
      <c r="B597" s="78" t="s">
        <v>435</v>
      </c>
      <c r="D597" s="76" t="s">
        <v>436</v>
      </c>
      <c r="J597" s="24"/>
    </row>
    <row r="598">
      <c r="A598" s="22" t="s">
        <v>329</v>
      </c>
      <c r="B598" s="22">
        <v>1.0</v>
      </c>
      <c r="J598" s="24"/>
    </row>
    <row r="599">
      <c r="B599" s="77"/>
      <c r="J599" s="24"/>
    </row>
    <row r="600">
      <c r="A600" s="81" t="s">
        <v>332</v>
      </c>
      <c r="B600" s="82" t="s">
        <v>333</v>
      </c>
      <c r="C600" s="83"/>
      <c r="D600" s="82" t="s">
        <v>334</v>
      </c>
      <c r="E600" s="83"/>
      <c r="F600" s="81" t="s">
        <v>335</v>
      </c>
      <c r="J600" s="24"/>
    </row>
    <row r="601">
      <c r="A601" s="84" t="s">
        <v>383</v>
      </c>
      <c r="J601" s="24"/>
    </row>
    <row r="602">
      <c r="A602" s="6" t="s">
        <v>437</v>
      </c>
      <c r="B602" s="38">
        <v>1.0</v>
      </c>
      <c r="C602" s="6" t="s">
        <v>343</v>
      </c>
      <c r="D602" s="21" t="str">
        <f>#REF!</f>
        <v>#REF!</v>
      </c>
      <c r="E602" s="6" t="s">
        <v>343</v>
      </c>
      <c r="F602" s="24" t="str">
        <f t="shared" ref="F602:F604" si="61">B602*D602</f>
        <v>#REF!</v>
      </c>
      <c r="J602" s="24"/>
    </row>
    <row r="603">
      <c r="A603" s="6" t="s">
        <v>421</v>
      </c>
      <c r="B603" s="6">
        <v>1.0</v>
      </c>
      <c r="C603" s="6" t="s">
        <v>398</v>
      </c>
      <c r="D603" s="60">
        <f>'Full Inventory Cost'!M59</f>
        <v>0.1792588496</v>
      </c>
      <c r="E603" s="6" t="s">
        <v>398</v>
      </c>
      <c r="F603" s="24">
        <f t="shared" si="61"/>
        <v>0.1792588496</v>
      </c>
      <c r="J603" s="24"/>
    </row>
    <row r="604">
      <c r="A604" s="6" t="s">
        <v>420</v>
      </c>
      <c r="B604" s="6">
        <v>8.0</v>
      </c>
      <c r="C604" s="6" t="s">
        <v>340</v>
      </c>
      <c r="D604" s="24">
        <f>D473</f>
        <v>0.10390625</v>
      </c>
      <c r="E604" s="6" t="s">
        <v>340</v>
      </c>
      <c r="F604" s="24">
        <f t="shared" si="61"/>
        <v>0.83125</v>
      </c>
      <c r="J604" s="24"/>
    </row>
    <row r="605">
      <c r="A605" s="6"/>
      <c r="B605" s="6"/>
      <c r="C605" s="6"/>
      <c r="D605" s="24"/>
      <c r="E605" s="6"/>
      <c r="F605" s="24"/>
      <c r="J605" s="24"/>
    </row>
    <row r="606">
      <c r="A606" s="84" t="s">
        <v>341</v>
      </c>
      <c r="J606" s="24"/>
    </row>
    <row r="607">
      <c r="A607" s="6" t="s">
        <v>438</v>
      </c>
      <c r="B607" s="38">
        <v>1.0</v>
      </c>
      <c r="C607" s="6" t="s">
        <v>343</v>
      </c>
      <c r="D607" s="24">
        <f>'Full Inventory Cost'!K142</f>
        <v>0.06695945946</v>
      </c>
      <c r="E607" s="6" t="s">
        <v>343</v>
      </c>
      <c r="F607" s="24">
        <f t="shared" ref="F607:F610" si="62">B607*D607</f>
        <v>0.06695945946</v>
      </c>
      <c r="J607" s="24"/>
    </row>
    <row r="608">
      <c r="A608" s="6" t="s">
        <v>439</v>
      </c>
      <c r="B608" s="38">
        <v>1.0</v>
      </c>
      <c r="C608" s="6" t="s">
        <v>343</v>
      </c>
      <c r="D608" s="24">
        <f>'Full Inventory Cost'!K172</f>
        <v>0.02149</v>
      </c>
      <c r="E608" s="6" t="s">
        <v>343</v>
      </c>
      <c r="F608" s="24">
        <f t="shared" si="62"/>
        <v>0.02149</v>
      </c>
      <c r="J608" s="24"/>
    </row>
    <row r="609">
      <c r="A609" s="6" t="s">
        <v>440</v>
      </c>
      <c r="B609" s="38">
        <v>1.0</v>
      </c>
      <c r="C609" s="6" t="s">
        <v>343</v>
      </c>
      <c r="D609" s="24">
        <f>'Full Inventory Cost'!K172</f>
        <v>0.02149</v>
      </c>
      <c r="E609" s="6" t="s">
        <v>343</v>
      </c>
      <c r="F609" s="24">
        <f t="shared" si="62"/>
        <v>0.02149</v>
      </c>
      <c r="J609" s="24"/>
    </row>
    <row r="610">
      <c r="A610" s="6" t="s">
        <v>441</v>
      </c>
      <c r="B610" s="38">
        <v>2.0</v>
      </c>
      <c r="C610" s="6" t="s">
        <v>343</v>
      </c>
      <c r="D610" s="24">
        <f>'Full Inventory Cost'!K157</f>
        <v>0.00727</v>
      </c>
      <c r="E610" s="6" t="s">
        <v>343</v>
      </c>
      <c r="F610" s="24">
        <f t="shared" si="62"/>
        <v>0.01454</v>
      </c>
      <c r="J610" s="24"/>
    </row>
    <row r="611">
      <c r="B611" s="77"/>
      <c r="J611" s="24"/>
    </row>
    <row r="612">
      <c r="B612" s="77"/>
      <c r="E612" s="89" t="s">
        <v>347</v>
      </c>
      <c r="F612" s="90" t="str">
        <f>SUM(F601:F609)</f>
        <v>#REF!</v>
      </c>
      <c r="G612" s="91" t="s">
        <v>348</v>
      </c>
      <c r="H612" s="91" t="s">
        <v>376</v>
      </c>
      <c r="I612" s="91" t="s">
        <v>350</v>
      </c>
      <c r="J612" s="143" t="s">
        <v>351</v>
      </c>
      <c r="K612" s="91" t="s">
        <v>352</v>
      </c>
    </row>
    <row r="613">
      <c r="B613" s="77"/>
      <c r="E613" s="92" t="s">
        <v>334</v>
      </c>
      <c r="F613" s="152" t="str">
        <f>F612/B598</f>
        <v>#REF!</v>
      </c>
      <c r="G613" s="24" t="str">
        <f>F613*5</f>
        <v>#REF!</v>
      </c>
      <c r="H613" s="21">
        <v>5.25</v>
      </c>
      <c r="I613" s="95" t="str">
        <f>F613/H613</f>
        <v>#REF!</v>
      </c>
      <c r="J613" s="144">
        <v>6.75</v>
      </c>
      <c r="K613" s="96" t="str">
        <f>F613/J613</f>
        <v>#REF!</v>
      </c>
    </row>
    <row r="614">
      <c r="B614" s="77"/>
      <c r="J614" s="24"/>
    </row>
    <row r="615">
      <c r="B615" s="77"/>
      <c r="J615" s="24"/>
    </row>
    <row r="616">
      <c r="B616" s="77"/>
      <c r="J616" s="24"/>
    </row>
    <row r="617">
      <c r="A617" s="78" t="s">
        <v>325</v>
      </c>
      <c r="B617" s="78" t="s">
        <v>579</v>
      </c>
      <c r="C617" s="136"/>
      <c r="J617" s="24"/>
    </row>
    <row r="618">
      <c r="A618" s="22" t="s">
        <v>329</v>
      </c>
      <c r="B618" s="22">
        <v>9.0</v>
      </c>
      <c r="C618" s="6" t="s">
        <v>485</v>
      </c>
      <c r="J618" s="24"/>
    </row>
    <row r="619">
      <c r="B619" s="77"/>
      <c r="J619" s="24"/>
    </row>
    <row r="620">
      <c r="A620" s="81" t="s">
        <v>332</v>
      </c>
      <c r="B620" s="82" t="s">
        <v>333</v>
      </c>
      <c r="C620" s="83"/>
      <c r="D620" s="82" t="s">
        <v>334</v>
      </c>
      <c r="E620" s="83"/>
      <c r="F620" s="81" t="s">
        <v>335</v>
      </c>
      <c r="J620" s="24"/>
    </row>
    <row r="621">
      <c r="A621" s="84" t="s">
        <v>455</v>
      </c>
      <c r="J621" s="24"/>
    </row>
    <row r="622">
      <c r="A622" s="6" t="s">
        <v>473</v>
      </c>
      <c r="B622" s="38">
        <v>1.0</v>
      </c>
      <c r="C622" s="6" t="s">
        <v>580</v>
      </c>
      <c r="D622" s="60">
        <f>'Full Inventory Cost'!L89</f>
        <v>0.605</v>
      </c>
      <c r="E622" s="6" t="s">
        <v>580</v>
      </c>
      <c r="F622" s="24">
        <f t="shared" ref="F622:F627" si="63">B622*D622</f>
        <v>0.605</v>
      </c>
      <c r="J622" s="24"/>
    </row>
    <row r="623">
      <c r="A623" s="6" t="s">
        <v>461</v>
      </c>
      <c r="B623" s="38">
        <v>0.5</v>
      </c>
      <c r="C623" s="6" t="s">
        <v>580</v>
      </c>
      <c r="D623" s="60">
        <f>'Full Inventory Cost'!L112</f>
        <v>0.1498</v>
      </c>
      <c r="E623" s="6" t="s">
        <v>580</v>
      </c>
      <c r="F623" s="24">
        <f t="shared" si="63"/>
        <v>0.0749</v>
      </c>
      <c r="J623" s="24"/>
    </row>
    <row r="624">
      <c r="A624" s="6" t="s">
        <v>497</v>
      </c>
      <c r="B624" s="38">
        <v>1.0</v>
      </c>
      <c r="C624" s="6" t="s">
        <v>580</v>
      </c>
      <c r="D624" s="60">
        <f>'Full Inventory Cost'!L117</f>
        <v>2.9975</v>
      </c>
      <c r="E624" s="6" t="s">
        <v>580</v>
      </c>
      <c r="F624" s="24">
        <f t="shared" si="63"/>
        <v>2.9975</v>
      </c>
      <c r="J624" s="24"/>
    </row>
    <row r="625">
      <c r="A625" s="22" t="s">
        <v>507</v>
      </c>
      <c r="B625" s="38">
        <v>2.0</v>
      </c>
      <c r="C625" s="6" t="s">
        <v>581</v>
      </c>
      <c r="D625" s="60">
        <f>'Full Inventory Cost'!N115</f>
        <v>0.1040625</v>
      </c>
      <c r="E625" s="6" t="s">
        <v>581</v>
      </c>
      <c r="F625" s="24">
        <f t="shared" si="63"/>
        <v>0.208125</v>
      </c>
      <c r="J625" s="24"/>
    </row>
    <row r="626">
      <c r="A626" s="22" t="s">
        <v>508</v>
      </c>
      <c r="B626" s="38">
        <v>0.66</v>
      </c>
      <c r="C626" s="6" t="s">
        <v>580</v>
      </c>
      <c r="D626" s="60">
        <f>'Full Inventory Cost'!L110</f>
        <v>1.525</v>
      </c>
      <c r="E626" s="6" t="s">
        <v>580</v>
      </c>
      <c r="F626" s="24">
        <f t="shared" si="63"/>
        <v>1.0065</v>
      </c>
      <c r="J626" s="24"/>
    </row>
    <row r="627">
      <c r="A627" s="22" t="s">
        <v>459</v>
      </c>
      <c r="B627" s="38">
        <v>2.0</v>
      </c>
      <c r="C627" s="6" t="s">
        <v>343</v>
      </c>
      <c r="D627" s="24">
        <f>'Full Inventory Cost'!K99</f>
        <v>0.3255555556</v>
      </c>
      <c r="E627" s="6" t="s">
        <v>343</v>
      </c>
      <c r="F627" s="24">
        <f t="shared" si="63"/>
        <v>0.6511111111</v>
      </c>
      <c r="J627" s="24"/>
    </row>
    <row r="628">
      <c r="A628" s="6"/>
      <c r="B628" s="6"/>
      <c r="C628" s="6"/>
      <c r="D628" s="6"/>
      <c r="E628" s="6"/>
      <c r="F628" s="6"/>
      <c r="J628" s="24"/>
    </row>
    <row r="629">
      <c r="A629" s="84" t="s">
        <v>341</v>
      </c>
      <c r="J629" s="24"/>
    </row>
    <row r="630">
      <c r="A630" s="6" t="s">
        <v>467</v>
      </c>
      <c r="B630" s="38">
        <v>1.0</v>
      </c>
      <c r="C630" s="6" t="s">
        <v>343</v>
      </c>
      <c r="D630" s="24">
        <f>'Full Inventory Cost'!K161</f>
        <v>0.03485</v>
      </c>
      <c r="E630" s="6" t="s">
        <v>343</v>
      </c>
      <c r="F630" s="24">
        <f t="shared" ref="F630:F631" si="64">B630*D630</f>
        <v>0.03485</v>
      </c>
      <c r="J630" s="24"/>
    </row>
    <row r="631">
      <c r="A631" s="6" t="s">
        <v>441</v>
      </c>
      <c r="B631" s="38">
        <v>2.0</v>
      </c>
      <c r="C631" s="6" t="s">
        <v>343</v>
      </c>
      <c r="D631" s="24">
        <f>'Full Inventory Cost'!K157</f>
        <v>0.00727</v>
      </c>
      <c r="E631" s="6" t="s">
        <v>343</v>
      </c>
      <c r="F631" s="24">
        <f t="shared" si="64"/>
        <v>0.01454</v>
      </c>
      <c r="J631" s="24"/>
    </row>
    <row r="632">
      <c r="B632" s="38"/>
      <c r="J632" s="24"/>
    </row>
    <row r="633">
      <c r="B633" s="38"/>
      <c r="J633" s="24"/>
    </row>
    <row r="634">
      <c r="B634" s="77"/>
      <c r="J634" s="24"/>
    </row>
    <row r="635">
      <c r="B635" s="77"/>
      <c r="E635" s="89" t="s">
        <v>347</v>
      </c>
      <c r="F635" s="90">
        <f>SUM(F621:F632)</f>
        <v>5.592526111</v>
      </c>
      <c r="G635" s="91" t="s">
        <v>348</v>
      </c>
      <c r="H635" s="91" t="s">
        <v>376</v>
      </c>
      <c r="I635" s="91" t="s">
        <v>350</v>
      </c>
      <c r="J635" s="143" t="s">
        <v>351</v>
      </c>
      <c r="K635" s="91" t="s">
        <v>352</v>
      </c>
    </row>
    <row r="636">
      <c r="B636" s="77"/>
      <c r="E636" s="92" t="s">
        <v>334</v>
      </c>
      <c r="F636" s="93">
        <f>F635/B618</f>
        <v>0.6213917901</v>
      </c>
      <c r="G636" s="24">
        <f>F636*5</f>
        <v>3.106958951</v>
      </c>
      <c r="H636" s="21">
        <v>3.5</v>
      </c>
      <c r="I636" s="95">
        <f>F636/H636</f>
        <v>0.1775405115</v>
      </c>
      <c r="J636" s="144">
        <v>3.5</v>
      </c>
      <c r="K636" s="96">
        <f>F636/J636</f>
        <v>0.1775405115</v>
      </c>
    </row>
    <row r="637">
      <c r="B637" s="77"/>
      <c r="J637" s="24"/>
    </row>
    <row r="638">
      <c r="B638" s="77"/>
      <c r="J638" s="24"/>
    </row>
    <row r="639">
      <c r="B639" s="77"/>
      <c r="J639" s="24"/>
    </row>
    <row r="640">
      <c r="B640" s="77"/>
      <c r="J640" s="24"/>
    </row>
    <row r="641">
      <c r="B641" s="77"/>
      <c r="J641" s="24"/>
    </row>
    <row r="642">
      <c r="B642" s="77"/>
      <c r="J642" s="24"/>
    </row>
    <row r="643">
      <c r="B643" s="77"/>
      <c r="J643" s="24"/>
    </row>
    <row r="644">
      <c r="B644" s="77"/>
      <c r="J644" s="24"/>
    </row>
    <row r="645">
      <c r="B645" s="77"/>
      <c r="J645" s="24"/>
    </row>
    <row r="646">
      <c r="B646" s="77"/>
      <c r="J646" s="24"/>
    </row>
    <row r="647">
      <c r="B647" s="77"/>
      <c r="J647" s="24"/>
    </row>
    <row r="648">
      <c r="B648" s="77"/>
      <c r="J648" s="24"/>
    </row>
    <row r="649">
      <c r="B649" s="77"/>
      <c r="J649" s="24"/>
    </row>
    <row r="650">
      <c r="B650" s="77"/>
      <c r="J650" s="24"/>
    </row>
    <row r="651">
      <c r="B651" s="77"/>
      <c r="J651" s="24"/>
    </row>
    <row r="652">
      <c r="B652" s="77"/>
      <c r="J652" s="24"/>
    </row>
    <row r="653">
      <c r="B653" s="77"/>
      <c r="J653" s="24"/>
    </row>
    <row r="654">
      <c r="B654" s="77"/>
      <c r="J654" s="24"/>
    </row>
    <row r="655">
      <c r="B655" s="77"/>
      <c r="J655" s="24"/>
    </row>
    <row r="656">
      <c r="B656" s="77"/>
      <c r="J656" s="24"/>
    </row>
    <row r="657">
      <c r="B657" s="77"/>
      <c r="J657" s="24"/>
    </row>
    <row r="658">
      <c r="B658" s="77"/>
      <c r="J658" s="24"/>
    </row>
    <row r="659">
      <c r="B659" s="77"/>
      <c r="J659" s="24"/>
    </row>
    <row r="660">
      <c r="B660" s="77"/>
      <c r="J660" s="24"/>
    </row>
    <row r="661">
      <c r="B661" s="77"/>
      <c r="J661" s="24"/>
    </row>
    <row r="662">
      <c r="B662" s="77"/>
      <c r="J662" s="24"/>
    </row>
    <row r="663">
      <c r="B663" s="77"/>
      <c r="J663" s="24"/>
    </row>
    <row r="664">
      <c r="B664" s="77"/>
      <c r="J664" s="24"/>
    </row>
    <row r="665">
      <c r="B665" s="77"/>
      <c r="J665" s="24"/>
    </row>
    <row r="666">
      <c r="B666" s="77"/>
      <c r="J666" s="24"/>
    </row>
    <row r="667">
      <c r="B667" s="77"/>
      <c r="J667" s="24"/>
    </row>
    <row r="668">
      <c r="B668" s="77"/>
      <c r="J668" s="24"/>
    </row>
    <row r="669">
      <c r="B669" s="77"/>
      <c r="J669" s="24"/>
    </row>
    <row r="670">
      <c r="B670" s="77"/>
      <c r="J670" s="24"/>
    </row>
    <row r="671">
      <c r="B671" s="77"/>
      <c r="J671" s="24"/>
    </row>
    <row r="672">
      <c r="B672" s="77"/>
      <c r="J672" s="24"/>
    </row>
    <row r="673">
      <c r="B673" s="77"/>
      <c r="J673" s="24"/>
    </row>
    <row r="674">
      <c r="B674" s="77"/>
      <c r="J674" s="24"/>
    </row>
    <row r="675">
      <c r="B675" s="77"/>
      <c r="J675" s="24"/>
    </row>
    <row r="676">
      <c r="B676" s="77"/>
      <c r="J676" s="24"/>
    </row>
    <row r="677">
      <c r="B677" s="77"/>
      <c r="J677" s="24"/>
    </row>
    <row r="678">
      <c r="B678" s="77"/>
      <c r="J678" s="24"/>
    </row>
    <row r="679">
      <c r="B679" s="77"/>
      <c r="J679" s="24"/>
    </row>
    <row r="680">
      <c r="B680" s="77"/>
      <c r="J680" s="24"/>
    </row>
    <row r="681">
      <c r="B681" s="77"/>
      <c r="J681" s="24"/>
    </row>
    <row r="682">
      <c r="B682" s="77"/>
      <c r="J682" s="24"/>
    </row>
    <row r="683">
      <c r="B683" s="77"/>
      <c r="J683" s="24"/>
    </row>
    <row r="684">
      <c r="B684" s="77"/>
      <c r="J684" s="24"/>
    </row>
    <row r="685">
      <c r="B685" s="77"/>
      <c r="J685" s="24"/>
    </row>
    <row r="686">
      <c r="B686" s="77"/>
      <c r="J686" s="24"/>
    </row>
    <row r="687">
      <c r="B687" s="77"/>
      <c r="J687" s="24"/>
    </row>
    <row r="688">
      <c r="B688" s="77"/>
      <c r="J688" s="24"/>
    </row>
    <row r="689">
      <c r="B689" s="77"/>
      <c r="J689" s="24"/>
    </row>
    <row r="690">
      <c r="B690" s="77"/>
      <c r="J690" s="24"/>
    </row>
    <row r="691">
      <c r="B691" s="77"/>
      <c r="J691" s="24"/>
    </row>
    <row r="692">
      <c r="B692" s="77"/>
      <c r="J692" s="24"/>
    </row>
    <row r="693">
      <c r="B693" s="77"/>
      <c r="J693" s="24"/>
    </row>
    <row r="694">
      <c r="B694" s="77"/>
      <c r="J694" s="24"/>
    </row>
    <row r="695">
      <c r="B695" s="77"/>
      <c r="J695" s="24"/>
    </row>
  </sheetData>
  <mergeCells count="110">
    <mergeCell ref="B354:C354"/>
    <mergeCell ref="D354:E354"/>
    <mergeCell ref="A355:F355"/>
    <mergeCell ref="D369:E369"/>
    <mergeCell ref="A370:F370"/>
    <mergeCell ref="A376:F376"/>
    <mergeCell ref="A379:F379"/>
    <mergeCell ref="B369:C369"/>
    <mergeCell ref="B392:C392"/>
    <mergeCell ref="D392:E392"/>
    <mergeCell ref="A393:F393"/>
    <mergeCell ref="A399:F399"/>
    <mergeCell ref="B411:C411"/>
    <mergeCell ref="B414:C414"/>
    <mergeCell ref="D414:E414"/>
    <mergeCell ref="A415:F415"/>
    <mergeCell ref="A422:F422"/>
    <mergeCell ref="B431:C431"/>
    <mergeCell ref="D434:E434"/>
    <mergeCell ref="A435:F435"/>
    <mergeCell ref="A440:F440"/>
    <mergeCell ref="B434:C434"/>
    <mergeCell ref="B450:C450"/>
    <mergeCell ref="B453:C453"/>
    <mergeCell ref="D453:E453"/>
    <mergeCell ref="A454:F454"/>
    <mergeCell ref="A459:F459"/>
    <mergeCell ref="B468:C468"/>
    <mergeCell ref="A490:F490"/>
    <mergeCell ref="A497:F497"/>
    <mergeCell ref="B510:C510"/>
    <mergeCell ref="D510:E510"/>
    <mergeCell ref="B520:C520"/>
    <mergeCell ref="B523:C523"/>
    <mergeCell ref="D523:E523"/>
    <mergeCell ref="A524:F524"/>
    <mergeCell ref="A529:F529"/>
    <mergeCell ref="B539:C539"/>
    <mergeCell ref="B542:C542"/>
    <mergeCell ref="D542:E542"/>
    <mergeCell ref="A543:F543"/>
    <mergeCell ref="A548:F548"/>
    <mergeCell ref="B557:C557"/>
    <mergeCell ref="B560:C560"/>
    <mergeCell ref="D560:E560"/>
    <mergeCell ref="A561:F561"/>
    <mergeCell ref="A566:F566"/>
    <mergeCell ref="B576:C576"/>
    <mergeCell ref="B579:C579"/>
    <mergeCell ref="B600:C600"/>
    <mergeCell ref="B620:C620"/>
    <mergeCell ref="D620:E620"/>
    <mergeCell ref="A621:F621"/>
    <mergeCell ref="A629:F629"/>
    <mergeCell ref="D579:E579"/>
    <mergeCell ref="A580:F580"/>
    <mergeCell ref="A587:F587"/>
    <mergeCell ref="B597:C597"/>
    <mergeCell ref="D600:E600"/>
    <mergeCell ref="A601:F601"/>
    <mergeCell ref="A606:F606"/>
    <mergeCell ref="B9:C9"/>
    <mergeCell ref="D9:E9"/>
    <mergeCell ref="B37:C37"/>
    <mergeCell ref="D37:E37"/>
    <mergeCell ref="B62:C62"/>
    <mergeCell ref="D62:E62"/>
    <mergeCell ref="D87:E87"/>
    <mergeCell ref="B87:C87"/>
    <mergeCell ref="B114:C114"/>
    <mergeCell ref="D114:E114"/>
    <mergeCell ref="B135:C135"/>
    <mergeCell ref="D135:E135"/>
    <mergeCell ref="B161:C161"/>
    <mergeCell ref="D161:E161"/>
    <mergeCell ref="B190:C190"/>
    <mergeCell ref="D190:E190"/>
    <mergeCell ref="B213:C213"/>
    <mergeCell ref="D213:E213"/>
    <mergeCell ref="B235:C235"/>
    <mergeCell ref="D235:E235"/>
    <mergeCell ref="B253:C253"/>
    <mergeCell ref="D253:E253"/>
    <mergeCell ref="A254:F254"/>
    <mergeCell ref="A260:F260"/>
    <mergeCell ref="B271:C271"/>
    <mergeCell ref="D271:E271"/>
    <mergeCell ref="A272:F272"/>
    <mergeCell ref="B283:C283"/>
    <mergeCell ref="D283:E283"/>
    <mergeCell ref="A284:F284"/>
    <mergeCell ref="A290:F290"/>
    <mergeCell ref="A294:F294"/>
    <mergeCell ref="B307:C307"/>
    <mergeCell ref="D307:E307"/>
    <mergeCell ref="A308:F308"/>
    <mergeCell ref="A314:F314"/>
    <mergeCell ref="A318:F318"/>
    <mergeCell ref="B331:C331"/>
    <mergeCell ref="D331:E331"/>
    <mergeCell ref="A332:F332"/>
    <mergeCell ref="A338:F338"/>
    <mergeCell ref="A341:F341"/>
    <mergeCell ref="B471:C471"/>
    <mergeCell ref="D471:E471"/>
    <mergeCell ref="A472:F472"/>
    <mergeCell ref="A477:F477"/>
    <mergeCell ref="B486:C486"/>
    <mergeCell ref="B489:C489"/>
    <mergeCell ref="D489:E489"/>
  </mergeCells>
  <drawing r:id="rId1"/>
</worksheet>
</file>